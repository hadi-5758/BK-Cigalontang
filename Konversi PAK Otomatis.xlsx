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e\"/>
    </mc:Choice>
  </mc:AlternateContent>
  <xr:revisionPtr revIDLastSave="0" documentId="13_ncr:1_{D8A56C14-5859-4D5E-A1B9-3EA8C7A5F324}" xr6:coauthVersionLast="47" xr6:coauthVersionMax="47" xr10:uidLastSave="{00000000-0000-0000-0000-000000000000}"/>
  <bookViews>
    <workbookView xWindow="-110" yWindow="-110" windowWidth="29020" windowHeight="17500" tabRatio="500" firstSheet="1" activeTab="4" xr2:uid="{00000000-000D-0000-FFFF-FFFF00000000}"/>
  </bookViews>
  <sheets>
    <sheet name="DATA MASTER" sheetId="1" r:id="rId1"/>
    <sheet name="DATA PEGAWAI" sheetId="2" r:id="rId2"/>
    <sheet name="KONVERSI PREDIKAT KINERJA" sheetId="3" r:id="rId3"/>
    <sheet name="AKUMULASI ANGKA KREDIT" sheetId="4" r:id="rId4"/>
    <sheet name="PENETAPAN ANGKA KREDIT" sheetId="5" r:id="rId5"/>
  </sheets>
  <definedNames>
    <definedName name="ak_baru">'AKUMULASI ANGKA KREDIT'!$G$33</definedName>
    <definedName name="ak_konversi_periode">'KONVERSI PREDIKAT KINERJA'!$F$30</definedName>
    <definedName name="Q_P1_BULAN">CONCATENATE(INDEX(tbl_pegawai,MATCH('KONVERSI PREDIKAT KINERJA'!$C$8,tbl_nip,0),16)," (",INDEX(tbl_pegawai,MATCH('KONVERSI PREDIKAT KINERJA'!$C$8,tbl_nip,0),17)," bulan)")</definedName>
    <definedName name="Q_P2_BULAN">CONCATENATE(INDEX(tbl_pegawai,MATCH('KONVERSI PREDIKAT KINERJA'!$C$8,tbl_nip,0),19)," (",INDEX(tbl_pegawai,MATCH('KONVERSI PREDIKAT KINERJA'!$C$8,tbl_nip,0),20)," bulan)")</definedName>
    <definedName name="Q_P3_BULAN">CONCATENATE(INDEX(tbl_pegawai,MATCH('KONVERSI PREDIKAT KINERJA'!$C$8,tbl_nip,0),22)," (",INDEX(tbl_pegawai,MATCH('KONVERSI PREDIKAT KINERJA'!$C$8,tbl_nip,0),23)," bulan)")</definedName>
    <definedName name="Q_P4_BULAN">CONCATENATE(INDEX(tbl_pegawai,MATCH('KONVERSI PREDIKAT KINERJA'!$C$8,tbl_nip,0),25)," (",INDEX(tbl_pegawai,MATCH('KONVERSI PREDIKAT KINERJA'!$C$8,tbl_nip,0),26)," bulan)")</definedName>
    <definedName name="tbl_ak_dasar">'DATA MASTER'!$A$39:$C$47</definedName>
    <definedName name="tbl_ak_jenjang">'DATA MASTER'!$A$32:$B$35</definedName>
    <definedName name="tbl_ak_kp">'DATA MASTER'!$A$21:$C$28</definedName>
    <definedName name="tbl_jenjang">'DATA MASTER'!$A$14:$B$17</definedName>
    <definedName name="tbl_jenjang_nama">'DATA MASTER'!$A$14:$A$17</definedName>
    <definedName name="tbl_nip">'DATA PEGAWAI'!$B$5:$B$34</definedName>
    <definedName name="tbl_pegawai">'DATA PEGAWAI'!$B$5:$AD$34</definedName>
    <definedName name="tbl_predikat">'DATA MASTER'!$A$5:$B$10</definedName>
    <definedName name="tbl_predikat_nama">'DATA MASTER'!$A$5:$A$10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7" i="5" l="1"/>
  <c r="D37" i="5"/>
  <c r="H50" i="5" l="1"/>
  <c r="A42" i="5"/>
  <c r="F36" i="5"/>
  <c r="D36" i="5"/>
  <c r="F33" i="5"/>
  <c r="F32" i="5"/>
  <c r="D30" i="5"/>
  <c r="F30" i="5" s="1"/>
  <c r="D29" i="5"/>
  <c r="F29" i="5" s="1"/>
  <c r="D28" i="5"/>
  <c r="D34" i="5" s="1"/>
  <c r="D24" i="5"/>
  <c r="D23" i="5"/>
  <c r="D22" i="5"/>
  <c r="D21" i="5"/>
  <c r="D20" i="5"/>
  <c r="D19" i="5"/>
  <c r="D18" i="5"/>
  <c r="D17" i="5"/>
  <c r="D16" i="5"/>
  <c r="A13" i="5"/>
  <c r="A11" i="5"/>
  <c r="H45" i="4"/>
  <c r="A41" i="4"/>
  <c r="G32" i="4"/>
  <c r="E32" i="4"/>
  <c r="D32" i="4"/>
  <c r="C32" i="4"/>
  <c r="B32" i="4"/>
  <c r="A32" i="4"/>
  <c r="G31" i="4"/>
  <c r="E31" i="4"/>
  <c r="D31" i="4"/>
  <c r="C31" i="4"/>
  <c r="B31" i="4"/>
  <c r="A31" i="4"/>
  <c r="G30" i="4"/>
  <c r="E30" i="4"/>
  <c r="D30" i="4"/>
  <c r="C30" i="4"/>
  <c r="B30" i="4"/>
  <c r="A30" i="4"/>
  <c r="G29" i="4"/>
  <c r="E29" i="4"/>
  <c r="D29" i="4"/>
  <c r="C29" i="4"/>
  <c r="B29" i="4"/>
  <c r="A29" i="4"/>
  <c r="F24" i="4"/>
  <c r="F23" i="4"/>
  <c r="F22" i="4"/>
  <c r="F21" i="4"/>
  <c r="F20" i="4"/>
  <c r="F19" i="4"/>
  <c r="F18" i="4"/>
  <c r="F17" i="4"/>
  <c r="F16" i="4"/>
  <c r="A13" i="4"/>
  <c r="A11" i="4"/>
  <c r="F42" i="3"/>
  <c r="A38" i="3"/>
  <c r="F33" i="3"/>
  <c r="D30" i="3"/>
  <c r="C30" i="3"/>
  <c r="A30" i="3"/>
  <c r="E24" i="3"/>
  <c r="E23" i="3"/>
  <c r="E22" i="3"/>
  <c r="E21" i="3"/>
  <c r="E20" i="3"/>
  <c r="E19" i="3"/>
  <c r="E18" i="3"/>
  <c r="E17" i="3"/>
  <c r="E16" i="3"/>
  <c r="E13" i="3"/>
  <c r="A13" i="3"/>
  <c r="A11" i="3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G33" i="4" l="1"/>
  <c r="E31" i="5" s="1"/>
  <c r="F31" i="5" s="1"/>
  <c r="F30" i="3"/>
  <c r="E34" i="5"/>
  <c r="F34" i="5" s="1"/>
  <c r="F28" i="5"/>
  <c r="A39" i="5" l="1"/>
</calcChain>
</file>

<file path=xl/sharedStrings.xml><?xml version="1.0" encoding="utf-8"?>
<sst xmlns="http://schemas.openxmlformats.org/spreadsheetml/2006/main" count="341" uniqueCount="148">
  <si>
    <t>DATA MASTER / TABEL REFERENSI</t>
  </si>
  <si>
    <t>TABEL PREDIKAT KINERJA</t>
  </si>
  <si>
    <t>PREDIKAT</t>
  </si>
  <si>
    <t>PROSENTASE</t>
  </si>
  <si>
    <t>Sangat Baik</t>
  </si>
  <si>
    <t>Baik</t>
  </si>
  <si>
    <t>Butuh Perbaikan</t>
  </si>
  <si>
    <t>Kurang</t>
  </si>
  <si>
    <t>Sangat Kurang</t>
  </si>
  <si>
    <t>-</t>
  </si>
  <si>
    <t>TABEL JENJANG &amp; KOEFISIEN</t>
  </si>
  <si>
    <t>JENJANG JABATAN</t>
  </si>
  <si>
    <t>KOEFISIEN/TH</t>
  </si>
  <si>
    <t>Ahli Pertama</t>
  </si>
  <si>
    <t>Ahli Muda</t>
  </si>
  <si>
    <t>Ahli Madya</t>
  </si>
  <si>
    <t>Ahli Utama</t>
  </si>
  <si>
    <t>AK MINIMAL KENAIKAN PANGKAT</t>
  </si>
  <si>
    <t>GOLONGAN</t>
  </si>
  <si>
    <t>KE GOL.</t>
  </si>
  <si>
    <t>AK MINIMAL</t>
  </si>
  <si>
    <t>III/a</t>
  </si>
  <si>
    <t>III/b</t>
  </si>
  <si>
    <t>III/c</t>
  </si>
  <si>
    <t>III/d</t>
  </si>
  <si>
    <t>IV/a</t>
  </si>
  <si>
    <t>IV/b</t>
  </si>
  <si>
    <t>IV/c</t>
  </si>
  <si>
    <t>IV/d</t>
  </si>
  <si>
    <t>IV/e</t>
  </si>
  <si>
    <t>AK MINIMAL KENAIKAN JENJANG</t>
  </si>
  <si>
    <t>DARI JENJANG</t>
  </si>
  <si>
    <t>AK DASAR (Tabel 2 Panduan)</t>
  </si>
  <si>
    <t>JENJANG</t>
  </si>
  <si>
    <t>AK DASAR</t>
  </si>
  <si>
    <t>DATABASE PEGAWAI (GURU)</t>
  </si>
  <si>
    <t>Petunjuk: isi satu baris per guru. Kolom berwarna hijau adalah isian. JENJANG &amp; GOLONGAN pakai dropdown. Tambahkan periode kinerja pada kolom P1..P4. Sheet SK memilih guru lewat dropdown NIP.</t>
  </si>
  <si>
    <t>NO</t>
  </si>
  <si>
    <t>NIP</t>
  </si>
  <si>
    <t>NAMA</t>
  </si>
  <si>
    <t>NOMOR SERI KARPEG</t>
  </si>
  <si>
    <t>TEMPAT/TGL LAHIR</t>
  </si>
  <si>
    <t>JENIS KELAMIN</t>
  </si>
  <si>
    <t>PANGKAT/GOL RUANG/TMT</t>
  </si>
  <si>
    <t>JABATAN/TMT</t>
  </si>
  <si>
    <t>UNIT KERJA</t>
  </si>
  <si>
    <t>INSTANSI</t>
  </si>
  <si>
    <t>AK DASAR (LAMA)</t>
  </si>
  <si>
    <t>AK JF LAMA</t>
  </si>
  <si>
    <t>AK PENYESUAIAN</t>
  </si>
  <si>
    <t>AK LAMA TOTAL</t>
  </si>
  <si>
    <t>P1 TAHUN</t>
  </si>
  <si>
    <t>P1 BULAN</t>
  </si>
  <si>
    <t>P1 PREDIKAT</t>
  </si>
  <si>
    <t>P2 TAHUN</t>
  </si>
  <si>
    <t>P2 BULAN</t>
  </si>
  <si>
    <t>P2 PREDIKAT</t>
  </si>
  <si>
    <t>P3 TAHUN</t>
  </si>
  <si>
    <t>P3 BULAN</t>
  </si>
  <si>
    <t>P3 PREDIKAT</t>
  </si>
  <si>
    <t>P4 TAHUN</t>
  </si>
  <si>
    <t>P4 BULAN</t>
  </si>
  <si>
    <t>P4 PREDIKAT</t>
  </si>
  <si>
    <t>PENANDATANGAN</t>
  </si>
  <si>
    <t>NIP PENANDATANGAN</t>
  </si>
  <si>
    <t>199101182019031011</t>
  </si>
  <si>
    <t>ABDUL HADI HASANUDDIN, S.Pd.</t>
  </si>
  <si>
    <t>B 03050388</t>
  </si>
  <si>
    <t>TASIKMALAYA/18-01-1991</t>
  </si>
  <si>
    <t>LAKI-LAKI</t>
  </si>
  <si>
    <t>PENATA MUDA TK.I/III/b/01-08-2024</t>
  </si>
  <si>
    <t>GURU AHLI PERTAMA/01-03-2019</t>
  </si>
  <si>
    <t>SMAN 1 CIGALONTANG KABUPATEN TASIKMALAYA SATUAN PENDIDIKAN KABUPATEN TASIKMALAYA CABANG PENDIDIKAN WILAYAH XII DINAS PENDIDIKAN</t>
  </si>
  <si>
    <t>PEMERINTAH PROVINSI JAWA BARAT</t>
  </si>
  <si>
    <t>Drs. ASEP SAEPUDIN, M.S.I</t>
  </si>
  <si>
    <t>196608121990031007</t>
  </si>
  <si>
    <t>PEMERINTAH DAERAH PROVINSI JAWA BARAT</t>
  </si>
  <si>
    <t>DINAS PENDIDIKAN</t>
  </si>
  <si>
    <t>Jalan. Dr. Radjiman No. 6 Telp. (022) 4264813 Fax. (022) 4264881</t>
  </si>
  <si>
    <t>Website : disdik.jabarprov.go.id</t>
  </si>
  <si>
    <t>e-mail: disdik@jabarprov.go.id/sekretariatdisdikjabar@gmail.com</t>
  </si>
  <si>
    <t>BANDUNG - 40171</t>
  </si>
  <si>
    <t>PILIH NIP:</t>
  </si>
  <si>
    <t>PERIODE KE-:</t>
  </si>
  <si>
    <t>KONVERSI PREDIKAT KINERJA KE ANGKA KREDIT</t>
  </si>
  <si>
    <t>PEJABAT FUNGSIONAL YANG DINILAI</t>
  </si>
  <si>
    <t>1</t>
  </si>
  <si>
    <t>:</t>
  </si>
  <si>
    <t>2</t>
  </si>
  <si>
    <t>3</t>
  </si>
  <si>
    <t>4</t>
  </si>
  <si>
    <t>TEMPAT/TGL. LAHIR</t>
  </si>
  <si>
    <t>5</t>
  </si>
  <si>
    <t>6</t>
  </si>
  <si>
    <t>PANGKAT/GOLONGAN RUANG/TMT</t>
  </si>
  <si>
    <t>7</t>
  </si>
  <si>
    <t>8</t>
  </si>
  <si>
    <t>9</t>
  </si>
  <si>
    <t>Hasil Penilaian Kinerja</t>
  </si>
  <si>
    <t>Koefisien per tahun</t>
  </si>
  <si>
    <t>Angka Kredit yang didapat
(Kolom 2 x Kolom 3 x (Bulan/12))</t>
  </si>
  <si>
    <t>Tembusan disampaikan kepada:</t>
  </si>
  <si>
    <t>1. Yth. Pimpinan Instansi Pembina Jabatan Fungsional yang bersangkutan;</t>
  </si>
  <si>
    <t>Pada tanggal 30 April 2025</t>
  </si>
  <si>
    <t>2. Yth. Kepala Badan Kepegawaian Negara/Kepala Kantor Regional III BKN;</t>
  </si>
  <si>
    <t>3. Yth. Sekretaris Daerah Provinsi Jawa Barat;</t>
  </si>
  <si>
    <t>Pejabat Penilai Kinerja</t>
  </si>
  <si>
    <t>4. Yth. Kepala Dinas Pendidikan;</t>
  </si>
  <si>
    <t>KEPALA SEKOLAH SMAN 1 CIGALONTANG</t>
  </si>
  <si>
    <t>KABUPATEN TASIKMALAYA,</t>
  </si>
  <si>
    <t>Pembina TK.I</t>
  </si>
  <si>
    <t>Dokumen ini telah ditandatangani secara elektronik menggunakan sertifikat elektronik yang diterbitkan oleh Balai Sertifikasi</t>
  </si>
  <si>
    <t>Elektronik (BSrE) Badan Siber dan Sandi Negara. Dokumen digital yang asli dapat diperoleh dengan memindai QR Code,</t>
  </si>
  <si>
    <t>memasukkan kode pada Aplikasi NDE Pemerintah Daerah Provinsi Jawa Barat, atau mengakses tautan berikut</t>
  </si>
  <si>
    <t>https://sidebar.jabarprov.go.id/v/XXXXXXXX</t>
  </si>
  <si>
    <t>XXXXXXXX</t>
  </si>
  <si>
    <t>AKUMULASI ANGKA KREDIT</t>
  </si>
  <si>
    <t>"Masa Penilaian : 2023 s.d saat ini"</t>
  </si>
  <si>
    <t>I</t>
  </si>
  <si>
    <t>KETERANGAN PERORANGAN</t>
  </si>
  <si>
    <t>HASIL PENILAIAN ANGKA KREDIT</t>
  </si>
  <si>
    <t>HASIL PENILAIAN KINERJA</t>
  </si>
  <si>
    <t>KOEFISIEN PER TAHUN</t>
  </si>
  <si>
    <t>ANGKA KREDIT YANG DIDAPAT</t>
  </si>
  <si>
    <t>TAHUN</t>
  </si>
  <si>
    <t>PERIODIK (BULAN)</t>
  </si>
  <si>
    <t>JUMLAH ANGKA KREDIT YANG DIPEROLEH</t>
  </si>
  <si>
    <t>Ditetapkan di Bandung</t>
  </si>
  <si>
    <t>PENETAPAN ANGKA KREDIT</t>
  </si>
  <si>
    <t>"Masa Penilaian : 01-01-2024 s.d 31-12-2024"</t>
  </si>
  <si>
    <t>TEMPAT/TANGGAL LAHIR</t>
  </si>
  <si>
    <t>II</t>
  </si>
  <si>
    <t>LAMA</t>
  </si>
  <si>
    <t>BARU</t>
  </si>
  <si>
    <t>JUMLAH</t>
  </si>
  <si>
    <t>KETERANGAN</t>
  </si>
  <si>
    <t>AK DASAR YANG DIBERIKAN</t>
  </si>
  <si>
    <t>AK PENYESUAIAN/ PENYETARAAN</t>
  </si>
  <si>
    <t>AK KONVERSI</t>
  </si>
  <si>
    <t>AK YANG DIPEROLEH DARI PENINGKATAN PENDIDIKAN</t>
  </si>
  <si>
    <t>…....... **)</t>
  </si>
  <si>
    <t>JUMLAH ANGKA KREDIT KUMULATIF</t>
  </si>
  <si>
    <t>PANGKAT</t>
  </si>
  <si>
    <t>ANGKA KREDIT MINIMAL YANG HARUS DIPENUHI UNTUK KENAIKAN PANGKAT/ JENJANG</t>
  </si>
  <si>
    <t>KEKURANGAN ANGKA KREDIT YANG HARUS DICAPAI UNTUK KENAIKAN PANGKAT</t>
  </si>
  <si>
    <t>KEKURANGAN ANGKA KREDIT YANG HARUS DICAPAI UNTUK KENAIKAN JENJANG</t>
  </si>
  <si>
    <t>ASLI Penetapan Angka Kredit untuk:</t>
  </si>
  <si>
    <t>5. Yth. Sekretariat Tim Penilai Kinerja PNS Pemerintah Provinsi Jawa Barat.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</si>
</sst>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0"/>
      <color rgb="FF000000"/>
      <name val="Times New Roman"/>
      <charset val="204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sz val="16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u/>
      <sz val="8"/>
      <color rgb="FF0000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EEBF7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165" fontId="2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opLeftCell="A4" zoomScaleNormal="100" workbookViewId="0">
      <selection activeCell="C7" sqref="C7"/>
    </sheetView>
  </sheetViews>
  <sheetFormatPr defaultColWidth="8.796875" defaultRowHeight="13" x14ac:dyDescent="0.3"/>
  <cols>
    <col min="1" max="1" width="22" customWidth="1"/>
    <col min="2" max="6" width="14" customWidth="1"/>
  </cols>
  <sheetData>
    <row r="1" spans="1:6" ht="17.399999999999999" customHeight="1" x14ac:dyDescent="0.3">
      <c r="A1" s="14" t="s">
        <v>0</v>
      </c>
      <c r="B1" s="14"/>
      <c r="C1" s="14"/>
      <c r="D1" s="14"/>
      <c r="E1" s="14"/>
      <c r="F1" s="14"/>
    </row>
    <row r="3" spans="1:6" ht="15" customHeight="1" x14ac:dyDescent="0.3">
      <c r="A3" s="13" t="s">
        <v>1</v>
      </c>
      <c r="B3" s="13"/>
    </row>
    <row r="4" spans="1:6" ht="26" x14ac:dyDescent="0.3">
      <c r="A4" s="16" t="s">
        <v>2</v>
      </c>
      <c r="B4" s="16" t="s">
        <v>3</v>
      </c>
    </row>
    <row r="5" spans="1:6" x14ac:dyDescent="0.3">
      <c r="A5" s="17" t="s">
        <v>4</v>
      </c>
      <c r="B5" s="18">
        <v>1.5</v>
      </c>
    </row>
    <row r="6" spans="1:6" x14ac:dyDescent="0.3">
      <c r="A6" s="17" t="s">
        <v>5</v>
      </c>
      <c r="B6" s="18">
        <v>1</v>
      </c>
    </row>
    <row r="7" spans="1:6" x14ac:dyDescent="0.3">
      <c r="A7" s="17" t="s">
        <v>6</v>
      </c>
      <c r="B7" s="18">
        <v>0.75</v>
      </c>
    </row>
    <row r="8" spans="1:6" x14ac:dyDescent="0.3">
      <c r="A8" s="17" t="s">
        <v>7</v>
      </c>
      <c r="B8" s="18">
        <v>0.5</v>
      </c>
    </row>
    <row r="9" spans="1:6" x14ac:dyDescent="0.3">
      <c r="A9" s="17" t="s">
        <v>8</v>
      </c>
      <c r="B9" s="18">
        <v>0.25</v>
      </c>
    </row>
    <row r="10" spans="1:6" x14ac:dyDescent="0.3">
      <c r="A10" s="17" t="s">
        <v>9</v>
      </c>
      <c r="B10" s="18">
        <v>0</v>
      </c>
    </row>
    <row r="12" spans="1:6" ht="15" customHeight="1" x14ac:dyDescent="0.3">
      <c r="A12" s="13" t="s">
        <v>10</v>
      </c>
      <c r="B12" s="13"/>
    </row>
    <row r="13" spans="1:6" ht="26" x14ac:dyDescent="0.3">
      <c r="A13" s="16" t="s">
        <v>11</v>
      </c>
      <c r="B13" s="16" t="s">
        <v>12</v>
      </c>
    </row>
    <row r="14" spans="1:6" x14ac:dyDescent="0.3">
      <c r="A14" s="17" t="s">
        <v>13</v>
      </c>
      <c r="B14" s="19">
        <v>12.5</v>
      </c>
    </row>
    <row r="15" spans="1:6" x14ac:dyDescent="0.3">
      <c r="A15" s="17" t="s">
        <v>14</v>
      </c>
      <c r="B15" s="19">
        <v>25</v>
      </c>
    </row>
    <row r="16" spans="1:6" x14ac:dyDescent="0.3">
      <c r="A16" s="17" t="s">
        <v>15</v>
      </c>
      <c r="B16" s="19">
        <v>37.5</v>
      </c>
    </row>
    <row r="17" spans="1:3" x14ac:dyDescent="0.3">
      <c r="A17" s="17" t="s">
        <v>16</v>
      </c>
      <c r="B17" s="19">
        <v>50</v>
      </c>
    </row>
    <row r="19" spans="1:3" ht="15" customHeight="1" x14ac:dyDescent="0.3">
      <c r="A19" s="13" t="s">
        <v>17</v>
      </c>
      <c r="B19" s="13"/>
      <c r="C19" s="13"/>
    </row>
    <row r="20" spans="1:3" x14ac:dyDescent="0.3">
      <c r="A20" s="16" t="s">
        <v>18</v>
      </c>
      <c r="B20" s="16" t="s">
        <v>19</v>
      </c>
      <c r="C20" s="16" t="s">
        <v>20</v>
      </c>
    </row>
    <row r="21" spans="1:3" x14ac:dyDescent="0.3">
      <c r="A21" s="20" t="s">
        <v>21</v>
      </c>
      <c r="B21" s="20" t="s">
        <v>22</v>
      </c>
      <c r="C21" s="21">
        <v>50</v>
      </c>
    </row>
    <row r="22" spans="1:3" x14ac:dyDescent="0.3">
      <c r="A22" s="20" t="s">
        <v>22</v>
      </c>
      <c r="B22" s="20" t="s">
        <v>23</v>
      </c>
      <c r="C22" s="21">
        <v>50</v>
      </c>
    </row>
    <row r="23" spans="1:3" x14ac:dyDescent="0.3">
      <c r="A23" s="20" t="s">
        <v>23</v>
      </c>
      <c r="B23" s="20" t="s">
        <v>24</v>
      </c>
      <c r="C23" s="21">
        <v>100</v>
      </c>
    </row>
    <row r="24" spans="1:3" x14ac:dyDescent="0.3">
      <c r="A24" s="20" t="s">
        <v>24</v>
      </c>
      <c r="B24" s="20" t="s">
        <v>25</v>
      </c>
      <c r="C24" s="21">
        <v>100</v>
      </c>
    </row>
    <row r="25" spans="1:3" x14ac:dyDescent="0.3">
      <c r="A25" s="20" t="s">
        <v>25</v>
      </c>
      <c r="B25" s="20" t="s">
        <v>26</v>
      </c>
      <c r="C25" s="21">
        <v>150</v>
      </c>
    </row>
    <row r="26" spans="1:3" x14ac:dyDescent="0.3">
      <c r="A26" s="20" t="s">
        <v>26</v>
      </c>
      <c r="B26" s="20" t="s">
        <v>27</v>
      </c>
      <c r="C26" s="21">
        <v>150</v>
      </c>
    </row>
    <row r="27" spans="1:3" x14ac:dyDescent="0.3">
      <c r="A27" s="20" t="s">
        <v>27</v>
      </c>
      <c r="B27" s="20" t="s">
        <v>28</v>
      </c>
      <c r="C27" s="21">
        <v>450</v>
      </c>
    </row>
    <row r="28" spans="1:3" x14ac:dyDescent="0.3">
      <c r="A28" s="20" t="s">
        <v>28</v>
      </c>
      <c r="B28" s="20" t="s">
        <v>29</v>
      </c>
      <c r="C28" s="21">
        <v>450</v>
      </c>
    </row>
    <row r="30" spans="1:3" ht="25.4" customHeight="1" x14ac:dyDescent="0.3">
      <c r="A30" s="13" t="s">
        <v>30</v>
      </c>
      <c r="B30" s="13"/>
    </row>
    <row r="31" spans="1:3" x14ac:dyDescent="0.3">
      <c r="A31" s="16" t="s">
        <v>31</v>
      </c>
      <c r="B31" s="16" t="s">
        <v>20</v>
      </c>
    </row>
    <row r="32" spans="1:3" x14ac:dyDescent="0.3">
      <c r="A32" s="20" t="s">
        <v>13</v>
      </c>
      <c r="B32" s="20">
        <v>100</v>
      </c>
    </row>
    <row r="33" spans="1:3" x14ac:dyDescent="0.3">
      <c r="A33" s="20" t="s">
        <v>14</v>
      </c>
      <c r="B33" s="20">
        <v>200</v>
      </c>
    </row>
    <row r="34" spans="1:3" x14ac:dyDescent="0.3">
      <c r="A34" s="20" t="s">
        <v>15</v>
      </c>
      <c r="B34" s="20">
        <v>450</v>
      </c>
    </row>
    <row r="35" spans="1:3" x14ac:dyDescent="0.3">
      <c r="A35" s="20" t="s">
        <v>16</v>
      </c>
      <c r="B35" s="20">
        <v>0</v>
      </c>
    </row>
    <row r="37" spans="1:3" ht="15" customHeight="1" x14ac:dyDescent="0.3">
      <c r="A37" s="13" t="s">
        <v>32</v>
      </c>
      <c r="B37" s="13"/>
      <c r="C37" s="13"/>
    </row>
    <row r="38" spans="1:3" x14ac:dyDescent="0.3">
      <c r="A38" s="16" t="s">
        <v>33</v>
      </c>
      <c r="B38" s="16" t="s">
        <v>18</v>
      </c>
      <c r="C38" s="16" t="s">
        <v>34</v>
      </c>
    </row>
    <row r="39" spans="1:3" x14ac:dyDescent="0.3">
      <c r="A39" s="20" t="s">
        <v>13</v>
      </c>
      <c r="B39" s="20" t="s">
        <v>21</v>
      </c>
      <c r="C39" s="21">
        <v>0</v>
      </c>
    </row>
    <row r="40" spans="1:3" x14ac:dyDescent="0.3">
      <c r="A40" s="20" t="s">
        <v>13</v>
      </c>
      <c r="B40" s="20" t="s">
        <v>22</v>
      </c>
      <c r="C40" s="21">
        <v>50</v>
      </c>
    </row>
    <row r="41" spans="1:3" x14ac:dyDescent="0.3">
      <c r="A41" s="20" t="s">
        <v>14</v>
      </c>
      <c r="B41" s="20" t="s">
        <v>23</v>
      </c>
      <c r="C41" s="21">
        <v>0</v>
      </c>
    </row>
    <row r="42" spans="1:3" x14ac:dyDescent="0.3">
      <c r="A42" s="20" t="s">
        <v>14</v>
      </c>
      <c r="B42" s="20" t="s">
        <v>24</v>
      </c>
      <c r="C42" s="21">
        <v>100</v>
      </c>
    </row>
    <row r="43" spans="1:3" x14ac:dyDescent="0.3">
      <c r="A43" s="20" t="s">
        <v>15</v>
      </c>
      <c r="B43" s="20" t="s">
        <v>25</v>
      </c>
      <c r="C43" s="21">
        <v>0</v>
      </c>
    </row>
    <row r="44" spans="1:3" x14ac:dyDescent="0.3">
      <c r="A44" s="20" t="s">
        <v>15</v>
      </c>
      <c r="B44" s="20" t="s">
        <v>26</v>
      </c>
      <c r="C44" s="21">
        <v>150</v>
      </c>
    </row>
    <row r="45" spans="1:3" x14ac:dyDescent="0.3">
      <c r="A45" s="20" t="s">
        <v>15</v>
      </c>
      <c r="B45" s="20" t="s">
        <v>27</v>
      </c>
      <c r="C45" s="21">
        <v>300</v>
      </c>
    </row>
    <row r="46" spans="1:3" x14ac:dyDescent="0.3">
      <c r="A46" s="20" t="s">
        <v>16</v>
      </c>
      <c r="B46" s="20" t="s">
        <v>28</v>
      </c>
      <c r="C46" s="21">
        <v>0</v>
      </c>
    </row>
    <row r="47" spans="1:3" x14ac:dyDescent="0.3">
      <c r="A47" s="20" t="s">
        <v>16</v>
      </c>
      <c r="B47" s="20" t="s">
        <v>29</v>
      </c>
      <c r="C47" s="21">
        <v>0</v>
      </c>
    </row>
  </sheetData>
  <mergeCells count="6">
    <mergeCell ref="A37:C37"/>
    <mergeCell ref="A1:F1"/>
    <mergeCell ref="A3:B3"/>
    <mergeCell ref="A12:B12"/>
    <mergeCell ref="A19:C19"/>
    <mergeCell ref="A30:B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4"/>
  <sheetViews>
    <sheetView zoomScaleNormal="100" workbookViewId="0">
      <pane xSplit="3" ySplit="4" topLeftCell="M5" activePane="bottomRight" state="frozen"/>
      <selection pane="topRight" activeCell="D1" sqref="D1"/>
      <selection pane="bottomLeft" activeCell="A5" sqref="A5"/>
      <selection pane="bottomRight" activeCell="Q5" sqref="Q5"/>
    </sheetView>
  </sheetViews>
  <sheetFormatPr defaultColWidth="8.796875" defaultRowHeight="13" x14ac:dyDescent="0.3"/>
  <cols>
    <col min="1" max="1" width="4" customWidth="1"/>
    <col min="2" max="2" width="22" customWidth="1"/>
    <col min="3" max="3" width="30" customWidth="1"/>
    <col min="4" max="4" width="18" customWidth="1"/>
    <col min="5" max="5" width="22" customWidth="1"/>
    <col min="6" max="6" width="14" customWidth="1"/>
    <col min="7" max="7" width="30" customWidth="1"/>
    <col min="8" max="8" width="10" customWidth="1"/>
    <col min="9" max="9" width="28" customWidth="1"/>
    <col min="10" max="10" width="14" customWidth="1"/>
    <col min="11" max="11" width="40" customWidth="1"/>
    <col min="12" max="12" width="30" customWidth="1"/>
    <col min="13" max="15" width="12" customWidth="1"/>
    <col min="16" max="16" width="14" customWidth="1"/>
    <col min="17" max="18" width="10" customWidth="1"/>
    <col min="19" max="19" width="16" customWidth="1"/>
    <col min="20" max="21" width="10" customWidth="1"/>
    <col min="22" max="22" width="16" customWidth="1"/>
    <col min="23" max="24" width="10" customWidth="1"/>
    <col min="25" max="25" width="16" customWidth="1"/>
    <col min="26" max="27" width="10" customWidth="1"/>
    <col min="28" max="28" width="16" customWidth="1"/>
    <col min="29" max="29" width="30" customWidth="1"/>
    <col min="30" max="30" width="22" customWidth="1"/>
  </cols>
  <sheetData>
    <row r="1" spans="1:30" ht="17.399999999999999" customHeight="1" x14ac:dyDescent="0.3">
      <c r="A1" s="14" t="s">
        <v>35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15" customHeight="1" x14ac:dyDescent="0.3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4" spans="1:30" ht="30" customHeight="1" x14ac:dyDescent="0.3">
      <c r="A4" s="16" t="s">
        <v>37</v>
      </c>
      <c r="B4" s="16" t="s">
        <v>38</v>
      </c>
      <c r="C4" s="16" t="s">
        <v>39</v>
      </c>
      <c r="D4" s="16" t="s">
        <v>40</v>
      </c>
      <c r="E4" s="16" t="s">
        <v>41</v>
      </c>
      <c r="F4" s="16" t="s">
        <v>42</v>
      </c>
      <c r="G4" s="16" t="s">
        <v>43</v>
      </c>
      <c r="H4" s="16" t="s">
        <v>18</v>
      </c>
      <c r="I4" s="16" t="s">
        <v>44</v>
      </c>
      <c r="J4" s="16" t="s">
        <v>33</v>
      </c>
      <c r="K4" s="16" t="s">
        <v>45</v>
      </c>
      <c r="L4" s="16" t="s">
        <v>46</v>
      </c>
      <c r="M4" s="16" t="s">
        <v>47</v>
      </c>
      <c r="N4" s="16" t="s">
        <v>48</v>
      </c>
      <c r="O4" s="16" t="s">
        <v>49</v>
      </c>
      <c r="P4" s="16" t="s">
        <v>50</v>
      </c>
      <c r="Q4" s="16" t="s">
        <v>51</v>
      </c>
      <c r="R4" s="16" t="s">
        <v>52</v>
      </c>
      <c r="S4" s="16" t="s">
        <v>53</v>
      </c>
      <c r="T4" s="16" t="s">
        <v>54</v>
      </c>
      <c r="U4" s="16" t="s">
        <v>55</v>
      </c>
      <c r="V4" s="16" t="s">
        <v>56</v>
      </c>
      <c r="W4" s="16" t="s">
        <v>57</v>
      </c>
      <c r="X4" s="16" t="s">
        <v>58</v>
      </c>
      <c r="Y4" s="16" t="s">
        <v>59</v>
      </c>
      <c r="Z4" s="16" t="s">
        <v>60</v>
      </c>
      <c r="AA4" s="16" t="s">
        <v>61</v>
      </c>
      <c r="AB4" s="16" t="s">
        <v>62</v>
      </c>
      <c r="AC4" s="16" t="s">
        <v>63</v>
      </c>
      <c r="AD4" s="16" t="s">
        <v>64</v>
      </c>
    </row>
    <row r="5" spans="1:30" ht="27.75" customHeight="1" x14ac:dyDescent="0.3">
      <c r="A5" s="20">
        <v>1</v>
      </c>
      <c r="B5" s="22" t="s">
        <v>65</v>
      </c>
      <c r="C5" s="23" t="s">
        <v>66</v>
      </c>
      <c r="D5" s="22" t="s">
        <v>67</v>
      </c>
      <c r="E5" s="23" t="s">
        <v>68</v>
      </c>
      <c r="F5" s="22" t="s">
        <v>69</v>
      </c>
      <c r="G5" s="23" t="s">
        <v>70</v>
      </c>
      <c r="H5" s="22" t="s">
        <v>22</v>
      </c>
      <c r="I5" s="23" t="s">
        <v>71</v>
      </c>
      <c r="J5" s="22" t="s">
        <v>13</v>
      </c>
      <c r="K5" s="23" t="s">
        <v>72</v>
      </c>
      <c r="L5" s="23" t="s">
        <v>73</v>
      </c>
      <c r="M5" s="24">
        <v>50</v>
      </c>
      <c r="N5" s="24">
        <v>0</v>
      </c>
      <c r="O5" s="24">
        <v>0</v>
      </c>
      <c r="P5" s="25">
        <f>M5+N5+O5</f>
        <v>50</v>
      </c>
      <c r="Q5" s="26">
        <v>2023</v>
      </c>
      <c r="R5" s="26">
        <v>6</v>
      </c>
      <c r="S5" s="22" t="s">
        <v>4</v>
      </c>
      <c r="T5" s="26">
        <v>2024</v>
      </c>
      <c r="U5" s="26">
        <v>12</v>
      </c>
      <c r="V5" s="22" t="s">
        <v>4</v>
      </c>
      <c r="W5" s="26">
        <v>2025</v>
      </c>
      <c r="X5" s="26">
        <v>12</v>
      </c>
      <c r="Y5" s="22" t="s">
        <v>4</v>
      </c>
      <c r="Z5" s="26"/>
      <c r="AA5" s="26"/>
      <c r="AB5" s="22"/>
      <c r="AC5" s="23" t="s">
        <v>74</v>
      </c>
      <c r="AD5" s="22" t="s">
        <v>75</v>
      </c>
    </row>
    <row r="6" spans="1:30" ht="27.75" customHeight="1" x14ac:dyDescent="0.3">
      <c r="A6" s="20">
        <v>2</v>
      </c>
      <c r="B6" s="22"/>
      <c r="C6" s="23"/>
      <c r="D6" s="22"/>
      <c r="E6" s="23"/>
      <c r="F6" s="22"/>
      <c r="G6" s="23"/>
      <c r="H6" s="22"/>
      <c r="I6" s="23"/>
      <c r="J6" s="22"/>
      <c r="K6" s="23"/>
      <c r="L6" s="23"/>
      <c r="M6" s="24"/>
      <c r="N6" s="24"/>
      <c r="O6" s="24"/>
      <c r="P6" s="25" t="str">
        <f t="shared" ref="P6:P34" si="0">IF(AND(M6="",N6="",O6=""),"",IFERROR(N(M6)+N(N6)+N(O6),""))</f>
        <v/>
      </c>
      <c r="Q6" s="26"/>
      <c r="R6" s="26"/>
      <c r="S6" s="22"/>
      <c r="T6" s="26"/>
      <c r="U6" s="26"/>
      <c r="V6" s="22"/>
      <c r="W6" s="26"/>
      <c r="X6" s="26"/>
      <c r="Y6" s="22"/>
      <c r="Z6" s="26"/>
      <c r="AA6" s="26"/>
      <c r="AB6" s="22"/>
      <c r="AC6" s="23"/>
      <c r="AD6" s="22"/>
    </row>
    <row r="7" spans="1:30" ht="27.75" customHeight="1" x14ac:dyDescent="0.3">
      <c r="A7" s="20">
        <v>3</v>
      </c>
      <c r="B7" s="22"/>
      <c r="C7" s="23"/>
      <c r="D7" s="22"/>
      <c r="E7" s="23"/>
      <c r="F7" s="22"/>
      <c r="G7" s="23"/>
      <c r="H7" s="22"/>
      <c r="I7" s="23"/>
      <c r="J7" s="22"/>
      <c r="K7" s="23"/>
      <c r="L7" s="23"/>
      <c r="M7" s="24"/>
      <c r="N7" s="24"/>
      <c r="O7" s="24"/>
      <c r="P7" s="25" t="str">
        <f t="shared" si="0"/>
        <v/>
      </c>
      <c r="Q7" s="26"/>
      <c r="R7" s="26"/>
      <c r="S7" s="22"/>
      <c r="T7" s="26"/>
      <c r="U7" s="26"/>
      <c r="V7" s="22"/>
      <c r="W7" s="26"/>
      <c r="X7" s="26"/>
      <c r="Y7" s="22"/>
      <c r="Z7" s="26"/>
      <c r="AA7" s="26"/>
      <c r="AB7" s="22"/>
      <c r="AC7" s="23"/>
      <c r="AD7" s="22"/>
    </row>
    <row r="8" spans="1:30" ht="27.75" customHeight="1" x14ac:dyDescent="0.3">
      <c r="A8" s="20">
        <v>4</v>
      </c>
      <c r="B8" s="22"/>
      <c r="C8" s="23"/>
      <c r="D8" s="22"/>
      <c r="E8" s="23"/>
      <c r="F8" s="22"/>
      <c r="G8" s="23"/>
      <c r="H8" s="22"/>
      <c r="I8" s="23"/>
      <c r="J8" s="22"/>
      <c r="K8" s="23"/>
      <c r="L8" s="23"/>
      <c r="M8" s="24"/>
      <c r="N8" s="24"/>
      <c r="O8" s="24"/>
      <c r="P8" s="25" t="str">
        <f t="shared" si="0"/>
        <v/>
      </c>
      <c r="Q8" s="26"/>
      <c r="R8" s="26"/>
      <c r="S8" s="22"/>
      <c r="T8" s="26"/>
      <c r="U8" s="26"/>
      <c r="V8" s="22"/>
      <c r="W8" s="26"/>
      <c r="X8" s="26"/>
      <c r="Y8" s="22"/>
      <c r="Z8" s="26"/>
      <c r="AA8" s="26"/>
      <c r="AB8" s="22"/>
      <c r="AC8" s="23"/>
      <c r="AD8" s="22"/>
    </row>
    <row r="9" spans="1:30" ht="27.75" customHeight="1" x14ac:dyDescent="0.3">
      <c r="A9" s="20">
        <v>5</v>
      </c>
      <c r="B9" s="22"/>
      <c r="C9" s="23"/>
      <c r="D9" s="22"/>
      <c r="E9" s="23"/>
      <c r="F9" s="22"/>
      <c r="G9" s="23"/>
      <c r="H9" s="22"/>
      <c r="I9" s="23"/>
      <c r="J9" s="22"/>
      <c r="K9" s="23"/>
      <c r="L9" s="23"/>
      <c r="M9" s="24"/>
      <c r="N9" s="24"/>
      <c r="O9" s="24"/>
      <c r="P9" s="25" t="str">
        <f t="shared" si="0"/>
        <v/>
      </c>
      <c r="Q9" s="26"/>
      <c r="R9" s="26"/>
      <c r="S9" s="22"/>
      <c r="T9" s="26"/>
      <c r="U9" s="26"/>
      <c r="V9" s="22"/>
      <c r="W9" s="26"/>
      <c r="X9" s="26"/>
      <c r="Y9" s="22"/>
      <c r="Z9" s="26"/>
      <c r="AA9" s="26"/>
      <c r="AB9" s="22"/>
      <c r="AC9" s="23"/>
      <c r="AD9" s="22"/>
    </row>
    <row r="10" spans="1:30" ht="27.75" customHeight="1" x14ac:dyDescent="0.3">
      <c r="A10" s="20">
        <v>6</v>
      </c>
      <c r="B10" s="22"/>
      <c r="C10" s="23"/>
      <c r="D10" s="22"/>
      <c r="E10" s="23"/>
      <c r="F10" s="22"/>
      <c r="G10" s="23"/>
      <c r="H10" s="22"/>
      <c r="I10" s="23"/>
      <c r="J10" s="22"/>
      <c r="K10" s="23"/>
      <c r="L10" s="23"/>
      <c r="M10" s="24"/>
      <c r="N10" s="24"/>
      <c r="O10" s="24"/>
      <c r="P10" s="25" t="str">
        <f t="shared" si="0"/>
        <v/>
      </c>
      <c r="Q10" s="26"/>
      <c r="R10" s="26"/>
      <c r="S10" s="22"/>
      <c r="T10" s="26"/>
      <c r="U10" s="26"/>
      <c r="V10" s="22"/>
      <c r="W10" s="26"/>
      <c r="X10" s="26"/>
      <c r="Y10" s="22"/>
      <c r="Z10" s="26"/>
      <c r="AA10" s="26"/>
      <c r="AB10" s="22"/>
      <c r="AC10" s="23"/>
      <c r="AD10" s="22"/>
    </row>
    <row r="11" spans="1:30" ht="27.75" customHeight="1" x14ac:dyDescent="0.3">
      <c r="A11" s="20">
        <v>7</v>
      </c>
      <c r="B11" s="22"/>
      <c r="C11" s="23"/>
      <c r="D11" s="22"/>
      <c r="E11" s="23"/>
      <c r="F11" s="22"/>
      <c r="G11" s="23"/>
      <c r="H11" s="22"/>
      <c r="I11" s="23"/>
      <c r="J11" s="22"/>
      <c r="K11" s="23"/>
      <c r="L11" s="23"/>
      <c r="M11" s="24"/>
      <c r="N11" s="24"/>
      <c r="O11" s="24"/>
      <c r="P11" s="25" t="str">
        <f t="shared" si="0"/>
        <v/>
      </c>
      <c r="Q11" s="26"/>
      <c r="R11" s="26"/>
      <c r="S11" s="22"/>
      <c r="T11" s="26"/>
      <c r="U11" s="26"/>
      <c r="V11" s="22"/>
      <c r="W11" s="26"/>
      <c r="X11" s="26"/>
      <c r="Y11" s="22"/>
      <c r="Z11" s="26"/>
      <c r="AA11" s="26"/>
      <c r="AB11" s="22"/>
      <c r="AC11" s="23"/>
      <c r="AD11" s="22"/>
    </row>
    <row r="12" spans="1:30" ht="27.75" customHeight="1" x14ac:dyDescent="0.3">
      <c r="A12" s="20">
        <v>8</v>
      </c>
      <c r="B12" s="22"/>
      <c r="C12" s="23"/>
      <c r="D12" s="22"/>
      <c r="E12" s="23"/>
      <c r="F12" s="22"/>
      <c r="G12" s="23"/>
      <c r="H12" s="22"/>
      <c r="I12" s="23"/>
      <c r="J12" s="22"/>
      <c r="K12" s="23"/>
      <c r="L12" s="23"/>
      <c r="M12" s="24"/>
      <c r="N12" s="24"/>
      <c r="O12" s="24"/>
      <c r="P12" s="25" t="str">
        <f t="shared" si="0"/>
        <v/>
      </c>
      <c r="Q12" s="26"/>
      <c r="R12" s="26"/>
      <c r="S12" s="22"/>
      <c r="T12" s="26"/>
      <c r="U12" s="26"/>
      <c r="V12" s="22"/>
      <c r="W12" s="26"/>
      <c r="X12" s="26"/>
      <c r="Y12" s="22"/>
      <c r="Z12" s="26"/>
      <c r="AA12" s="26"/>
      <c r="AB12" s="22"/>
      <c r="AC12" s="23"/>
      <c r="AD12" s="22"/>
    </row>
    <row r="13" spans="1:30" ht="27.75" customHeight="1" x14ac:dyDescent="0.3">
      <c r="A13" s="20">
        <v>9</v>
      </c>
      <c r="B13" s="22"/>
      <c r="C13" s="23"/>
      <c r="D13" s="22"/>
      <c r="E13" s="23"/>
      <c r="F13" s="22"/>
      <c r="G13" s="23"/>
      <c r="H13" s="22"/>
      <c r="I13" s="23"/>
      <c r="J13" s="22"/>
      <c r="K13" s="23"/>
      <c r="L13" s="23"/>
      <c r="M13" s="24"/>
      <c r="N13" s="24"/>
      <c r="O13" s="24"/>
      <c r="P13" s="25" t="str">
        <f t="shared" si="0"/>
        <v/>
      </c>
      <c r="Q13" s="26"/>
      <c r="R13" s="26"/>
      <c r="S13" s="22"/>
      <c r="T13" s="26"/>
      <c r="U13" s="26"/>
      <c r="V13" s="22"/>
      <c r="W13" s="26"/>
      <c r="X13" s="26"/>
      <c r="Y13" s="22"/>
      <c r="Z13" s="26"/>
      <c r="AA13" s="26"/>
      <c r="AB13" s="22"/>
      <c r="AC13" s="23"/>
      <c r="AD13" s="22"/>
    </row>
    <row r="14" spans="1:30" ht="27.75" customHeight="1" x14ac:dyDescent="0.3">
      <c r="A14" s="20">
        <v>10</v>
      </c>
      <c r="B14" s="22"/>
      <c r="C14" s="23"/>
      <c r="D14" s="22"/>
      <c r="E14" s="23"/>
      <c r="F14" s="22"/>
      <c r="G14" s="23"/>
      <c r="H14" s="22"/>
      <c r="I14" s="23"/>
      <c r="J14" s="22"/>
      <c r="K14" s="23"/>
      <c r="L14" s="23"/>
      <c r="M14" s="24"/>
      <c r="N14" s="24"/>
      <c r="O14" s="24"/>
      <c r="P14" s="25" t="str">
        <f t="shared" si="0"/>
        <v/>
      </c>
      <c r="Q14" s="26"/>
      <c r="R14" s="26"/>
      <c r="S14" s="22"/>
      <c r="T14" s="26"/>
      <c r="U14" s="26"/>
      <c r="V14" s="22"/>
      <c r="W14" s="26"/>
      <c r="X14" s="26"/>
      <c r="Y14" s="22"/>
      <c r="Z14" s="26"/>
      <c r="AA14" s="26"/>
      <c r="AB14" s="22"/>
      <c r="AC14" s="23"/>
      <c r="AD14" s="22"/>
    </row>
    <row r="15" spans="1:30" ht="27.75" customHeight="1" x14ac:dyDescent="0.3">
      <c r="A15" s="20">
        <v>11</v>
      </c>
      <c r="B15" s="22"/>
      <c r="C15" s="23"/>
      <c r="D15" s="22"/>
      <c r="E15" s="23"/>
      <c r="F15" s="22"/>
      <c r="G15" s="23"/>
      <c r="H15" s="22"/>
      <c r="I15" s="23"/>
      <c r="J15" s="22"/>
      <c r="K15" s="23"/>
      <c r="L15" s="23"/>
      <c r="M15" s="24"/>
      <c r="N15" s="24"/>
      <c r="O15" s="24"/>
      <c r="P15" s="25" t="str">
        <f t="shared" si="0"/>
        <v/>
      </c>
      <c r="Q15" s="26"/>
      <c r="R15" s="26"/>
      <c r="S15" s="22"/>
      <c r="T15" s="26"/>
      <c r="U15" s="26"/>
      <c r="V15" s="22"/>
      <c r="W15" s="26"/>
      <c r="X15" s="26"/>
      <c r="Y15" s="22"/>
      <c r="Z15" s="26"/>
      <c r="AA15" s="26"/>
      <c r="AB15" s="22"/>
      <c r="AC15" s="23"/>
      <c r="AD15" s="22"/>
    </row>
    <row r="16" spans="1:30" ht="27.75" customHeight="1" x14ac:dyDescent="0.3">
      <c r="A16" s="20">
        <v>12</v>
      </c>
      <c r="B16" s="22"/>
      <c r="C16" s="23"/>
      <c r="D16" s="22"/>
      <c r="E16" s="23"/>
      <c r="F16" s="22"/>
      <c r="G16" s="23"/>
      <c r="H16" s="22"/>
      <c r="I16" s="23"/>
      <c r="J16" s="22"/>
      <c r="K16" s="23"/>
      <c r="L16" s="23"/>
      <c r="M16" s="24"/>
      <c r="N16" s="24"/>
      <c r="O16" s="24"/>
      <c r="P16" s="25" t="str">
        <f t="shared" si="0"/>
        <v/>
      </c>
      <c r="Q16" s="26"/>
      <c r="R16" s="26"/>
      <c r="S16" s="22"/>
      <c r="T16" s="26"/>
      <c r="U16" s="26"/>
      <c r="V16" s="22"/>
      <c r="W16" s="26"/>
      <c r="X16" s="26"/>
      <c r="Y16" s="22"/>
      <c r="Z16" s="26"/>
      <c r="AA16" s="26"/>
      <c r="AB16" s="22"/>
      <c r="AC16" s="23"/>
      <c r="AD16" s="22"/>
    </row>
    <row r="17" spans="1:30" ht="27.75" customHeight="1" x14ac:dyDescent="0.3">
      <c r="A17" s="20">
        <v>13</v>
      </c>
      <c r="B17" s="22"/>
      <c r="C17" s="23"/>
      <c r="D17" s="22"/>
      <c r="E17" s="23"/>
      <c r="F17" s="22"/>
      <c r="G17" s="23"/>
      <c r="H17" s="22"/>
      <c r="I17" s="23"/>
      <c r="J17" s="22"/>
      <c r="K17" s="23"/>
      <c r="L17" s="23"/>
      <c r="M17" s="24"/>
      <c r="N17" s="24"/>
      <c r="O17" s="24"/>
      <c r="P17" s="25" t="str">
        <f t="shared" si="0"/>
        <v/>
      </c>
      <c r="Q17" s="26"/>
      <c r="R17" s="26"/>
      <c r="S17" s="22"/>
      <c r="T17" s="26"/>
      <c r="U17" s="26"/>
      <c r="V17" s="22"/>
      <c r="W17" s="26"/>
      <c r="X17" s="26"/>
      <c r="Y17" s="22"/>
      <c r="Z17" s="26"/>
      <c r="AA17" s="26"/>
      <c r="AB17" s="22"/>
      <c r="AC17" s="23"/>
      <c r="AD17" s="22"/>
    </row>
    <row r="18" spans="1:30" ht="27.75" customHeight="1" x14ac:dyDescent="0.3">
      <c r="A18" s="20">
        <v>14</v>
      </c>
      <c r="B18" s="22"/>
      <c r="C18" s="23"/>
      <c r="D18" s="22"/>
      <c r="E18" s="23"/>
      <c r="F18" s="22"/>
      <c r="G18" s="23"/>
      <c r="H18" s="22"/>
      <c r="I18" s="23"/>
      <c r="J18" s="22"/>
      <c r="K18" s="23"/>
      <c r="L18" s="23"/>
      <c r="M18" s="24"/>
      <c r="N18" s="24"/>
      <c r="O18" s="24"/>
      <c r="P18" s="25" t="str">
        <f t="shared" si="0"/>
        <v/>
      </c>
      <c r="Q18" s="26"/>
      <c r="R18" s="26"/>
      <c r="S18" s="22"/>
      <c r="T18" s="26"/>
      <c r="U18" s="26"/>
      <c r="V18" s="22"/>
      <c r="W18" s="26"/>
      <c r="X18" s="26"/>
      <c r="Y18" s="22"/>
      <c r="Z18" s="26"/>
      <c r="AA18" s="26"/>
      <c r="AB18" s="22"/>
      <c r="AC18" s="23"/>
      <c r="AD18" s="22"/>
    </row>
    <row r="19" spans="1:30" ht="27.75" customHeight="1" x14ac:dyDescent="0.3">
      <c r="A19" s="20">
        <v>15</v>
      </c>
      <c r="B19" s="22"/>
      <c r="C19" s="23"/>
      <c r="D19" s="22"/>
      <c r="E19" s="23"/>
      <c r="F19" s="22"/>
      <c r="G19" s="23"/>
      <c r="H19" s="22"/>
      <c r="I19" s="23"/>
      <c r="J19" s="22"/>
      <c r="K19" s="23"/>
      <c r="L19" s="23"/>
      <c r="M19" s="24"/>
      <c r="N19" s="24"/>
      <c r="O19" s="24"/>
      <c r="P19" s="25" t="str">
        <f t="shared" si="0"/>
        <v/>
      </c>
      <c r="Q19" s="26"/>
      <c r="R19" s="26"/>
      <c r="S19" s="22"/>
      <c r="T19" s="26"/>
      <c r="U19" s="26"/>
      <c r="V19" s="22"/>
      <c r="W19" s="26"/>
      <c r="X19" s="26"/>
      <c r="Y19" s="22"/>
      <c r="Z19" s="26"/>
      <c r="AA19" s="26"/>
      <c r="AB19" s="22"/>
      <c r="AC19" s="23"/>
      <c r="AD19" s="22"/>
    </row>
    <row r="20" spans="1:30" ht="27.75" customHeight="1" x14ac:dyDescent="0.3">
      <c r="A20" s="20">
        <v>16</v>
      </c>
      <c r="B20" s="22"/>
      <c r="C20" s="23"/>
      <c r="D20" s="22"/>
      <c r="E20" s="23"/>
      <c r="F20" s="22"/>
      <c r="G20" s="23"/>
      <c r="H20" s="22"/>
      <c r="I20" s="23"/>
      <c r="J20" s="22"/>
      <c r="K20" s="23"/>
      <c r="L20" s="23"/>
      <c r="M20" s="24"/>
      <c r="N20" s="24"/>
      <c r="O20" s="24"/>
      <c r="P20" s="25" t="str">
        <f t="shared" si="0"/>
        <v/>
      </c>
      <c r="Q20" s="26"/>
      <c r="R20" s="26"/>
      <c r="S20" s="22"/>
      <c r="T20" s="26"/>
      <c r="U20" s="26"/>
      <c r="V20" s="22"/>
      <c r="W20" s="26"/>
      <c r="X20" s="26"/>
      <c r="Y20" s="22"/>
      <c r="Z20" s="26"/>
      <c r="AA20" s="26"/>
      <c r="AB20" s="22"/>
      <c r="AC20" s="23"/>
      <c r="AD20" s="22"/>
    </row>
    <row r="21" spans="1:30" ht="27.75" customHeight="1" x14ac:dyDescent="0.3">
      <c r="A21" s="20">
        <v>17</v>
      </c>
      <c r="B21" s="22"/>
      <c r="C21" s="23"/>
      <c r="D21" s="22"/>
      <c r="E21" s="23"/>
      <c r="F21" s="22"/>
      <c r="G21" s="23"/>
      <c r="H21" s="22"/>
      <c r="I21" s="23"/>
      <c r="J21" s="22"/>
      <c r="K21" s="23"/>
      <c r="L21" s="23"/>
      <c r="M21" s="24"/>
      <c r="N21" s="24"/>
      <c r="O21" s="24"/>
      <c r="P21" s="25" t="str">
        <f t="shared" si="0"/>
        <v/>
      </c>
      <c r="Q21" s="26"/>
      <c r="R21" s="26"/>
      <c r="S21" s="22"/>
      <c r="T21" s="26"/>
      <c r="U21" s="26"/>
      <c r="V21" s="22"/>
      <c r="W21" s="26"/>
      <c r="X21" s="26"/>
      <c r="Y21" s="22"/>
      <c r="Z21" s="26"/>
      <c r="AA21" s="26"/>
      <c r="AB21" s="22"/>
      <c r="AC21" s="23"/>
      <c r="AD21" s="22"/>
    </row>
    <row r="22" spans="1:30" ht="27.75" customHeight="1" x14ac:dyDescent="0.3">
      <c r="A22" s="20">
        <v>18</v>
      </c>
      <c r="B22" s="22"/>
      <c r="C22" s="23"/>
      <c r="D22" s="22"/>
      <c r="E22" s="23"/>
      <c r="F22" s="22"/>
      <c r="G22" s="23"/>
      <c r="H22" s="22"/>
      <c r="I22" s="23"/>
      <c r="J22" s="22"/>
      <c r="K22" s="23"/>
      <c r="L22" s="23"/>
      <c r="M22" s="24"/>
      <c r="N22" s="24"/>
      <c r="O22" s="24"/>
      <c r="P22" s="25" t="str">
        <f t="shared" si="0"/>
        <v/>
      </c>
      <c r="Q22" s="26"/>
      <c r="R22" s="26"/>
      <c r="S22" s="22"/>
      <c r="T22" s="26"/>
      <c r="U22" s="26"/>
      <c r="V22" s="22"/>
      <c r="W22" s="26"/>
      <c r="X22" s="26"/>
      <c r="Y22" s="22"/>
      <c r="Z22" s="26"/>
      <c r="AA22" s="26"/>
      <c r="AB22" s="22"/>
      <c r="AC22" s="23"/>
      <c r="AD22" s="22"/>
    </row>
    <row r="23" spans="1:30" ht="27.75" customHeight="1" x14ac:dyDescent="0.3">
      <c r="A23" s="20">
        <v>19</v>
      </c>
      <c r="B23" s="22"/>
      <c r="C23" s="23"/>
      <c r="D23" s="22"/>
      <c r="E23" s="23"/>
      <c r="F23" s="22"/>
      <c r="G23" s="23"/>
      <c r="H23" s="22"/>
      <c r="I23" s="23"/>
      <c r="J23" s="22"/>
      <c r="K23" s="23"/>
      <c r="L23" s="23"/>
      <c r="M23" s="24"/>
      <c r="N23" s="24"/>
      <c r="O23" s="24"/>
      <c r="P23" s="25" t="str">
        <f t="shared" si="0"/>
        <v/>
      </c>
      <c r="Q23" s="26"/>
      <c r="R23" s="26"/>
      <c r="S23" s="22"/>
      <c r="T23" s="26"/>
      <c r="U23" s="26"/>
      <c r="V23" s="22"/>
      <c r="W23" s="26"/>
      <c r="X23" s="26"/>
      <c r="Y23" s="22"/>
      <c r="Z23" s="26"/>
      <c r="AA23" s="26"/>
      <c r="AB23" s="22"/>
      <c r="AC23" s="23"/>
      <c r="AD23" s="22"/>
    </row>
    <row r="24" spans="1:30" ht="27.75" customHeight="1" x14ac:dyDescent="0.3">
      <c r="A24" s="20">
        <v>20</v>
      </c>
      <c r="B24" s="22"/>
      <c r="C24" s="23"/>
      <c r="D24" s="22"/>
      <c r="E24" s="23"/>
      <c r="F24" s="22"/>
      <c r="G24" s="23"/>
      <c r="H24" s="22"/>
      <c r="I24" s="23"/>
      <c r="J24" s="22"/>
      <c r="K24" s="23"/>
      <c r="L24" s="23"/>
      <c r="M24" s="24"/>
      <c r="N24" s="24"/>
      <c r="O24" s="24"/>
      <c r="P24" s="25" t="str">
        <f t="shared" si="0"/>
        <v/>
      </c>
      <c r="Q24" s="26"/>
      <c r="R24" s="26"/>
      <c r="S24" s="22"/>
      <c r="T24" s="26"/>
      <c r="U24" s="26"/>
      <c r="V24" s="22"/>
      <c r="W24" s="26"/>
      <c r="X24" s="26"/>
      <c r="Y24" s="22"/>
      <c r="Z24" s="26"/>
      <c r="AA24" s="26"/>
      <c r="AB24" s="22"/>
      <c r="AC24" s="23"/>
      <c r="AD24" s="22"/>
    </row>
    <row r="25" spans="1:30" ht="27.75" customHeight="1" x14ac:dyDescent="0.3">
      <c r="A25" s="20">
        <v>21</v>
      </c>
      <c r="B25" s="22"/>
      <c r="C25" s="23"/>
      <c r="D25" s="22"/>
      <c r="E25" s="23"/>
      <c r="F25" s="22"/>
      <c r="G25" s="23"/>
      <c r="H25" s="22"/>
      <c r="I25" s="23"/>
      <c r="J25" s="22"/>
      <c r="K25" s="23"/>
      <c r="L25" s="23"/>
      <c r="M25" s="24"/>
      <c r="N25" s="24"/>
      <c r="O25" s="24"/>
      <c r="P25" s="25" t="str">
        <f t="shared" si="0"/>
        <v/>
      </c>
      <c r="Q25" s="26"/>
      <c r="R25" s="26"/>
      <c r="S25" s="22"/>
      <c r="T25" s="26"/>
      <c r="U25" s="26"/>
      <c r="V25" s="22"/>
      <c r="W25" s="26"/>
      <c r="X25" s="26"/>
      <c r="Y25" s="22"/>
      <c r="Z25" s="26"/>
      <c r="AA25" s="26"/>
      <c r="AB25" s="22"/>
      <c r="AC25" s="23"/>
      <c r="AD25" s="22"/>
    </row>
    <row r="26" spans="1:30" ht="27.75" customHeight="1" x14ac:dyDescent="0.3">
      <c r="A26" s="20">
        <v>22</v>
      </c>
      <c r="B26" s="22"/>
      <c r="C26" s="23"/>
      <c r="D26" s="22"/>
      <c r="E26" s="23"/>
      <c r="F26" s="22"/>
      <c r="G26" s="23"/>
      <c r="H26" s="22"/>
      <c r="I26" s="23"/>
      <c r="J26" s="22"/>
      <c r="K26" s="23"/>
      <c r="L26" s="23"/>
      <c r="M26" s="24"/>
      <c r="N26" s="24"/>
      <c r="O26" s="24"/>
      <c r="P26" s="25" t="str">
        <f t="shared" si="0"/>
        <v/>
      </c>
      <c r="Q26" s="26"/>
      <c r="R26" s="26"/>
      <c r="S26" s="22"/>
      <c r="T26" s="26"/>
      <c r="U26" s="26"/>
      <c r="V26" s="22"/>
      <c r="W26" s="26"/>
      <c r="X26" s="26"/>
      <c r="Y26" s="22"/>
      <c r="Z26" s="26"/>
      <c r="AA26" s="26"/>
      <c r="AB26" s="22"/>
      <c r="AC26" s="23"/>
      <c r="AD26" s="22"/>
    </row>
    <row r="27" spans="1:30" ht="27.75" customHeight="1" x14ac:dyDescent="0.3">
      <c r="A27" s="20">
        <v>23</v>
      </c>
      <c r="B27" s="22"/>
      <c r="C27" s="23"/>
      <c r="D27" s="22"/>
      <c r="E27" s="23"/>
      <c r="F27" s="22"/>
      <c r="G27" s="23"/>
      <c r="H27" s="22"/>
      <c r="I27" s="23"/>
      <c r="J27" s="22"/>
      <c r="K27" s="23"/>
      <c r="L27" s="23"/>
      <c r="M27" s="24"/>
      <c r="N27" s="24"/>
      <c r="O27" s="24"/>
      <c r="P27" s="25" t="str">
        <f t="shared" si="0"/>
        <v/>
      </c>
      <c r="Q27" s="26"/>
      <c r="R27" s="26"/>
      <c r="S27" s="22"/>
      <c r="T27" s="26"/>
      <c r="U27" s="26"/>
      <c r="V27" s="22"/>
      <c r="W27" s="26"/>
      <c r="X27" s="26"/>
      <c r="Y27" s="22"/>
      <c r="Z27" s="26"/>
      <c r="AA27" s="26"/>
      <c r="AB27" s="22"/>
      <c r="AC27" s="23"/>
      <c r="AD27" s="22"/>
    </row>
    <row r="28" spans="1:30" ht="27.75" customHeight="1" x14ac:dyDescent="0.3">
      <c r="A28" s="20">
        <v>24</v>
      </c>
      <c r="B28" s="22"/>
      <c r="C28" s="23"/>
      <c r="D28" s="22"/>
      <c r="E28" s="23"/>
      <c r="F28" s="22"/>
      <c r="G28" s="23"/>
      <c r="H28" s="22"/>
      <c r="I28" s="23"/>
      <c r="J28" s="22"/>
      <c r="K28" s="23"/>
      <c r="L28" s="23"/>
      <c r="M28" s="24"/>
      <c r="N28" s="24"/>
      <c r="O28" s="24"/>
      <c r="P28" s="25" t="str">
        <f t="shared" si="0"/>
        <v/>
      </c>
      <c r="Q28" s="26"/>
      <c r="R28" s="26"/>
      <c r="S28" s="22"/>
      <c r="T28" s="26"/>
      <c r="U28" s="26"/>
      <c r="V28" s="22"/>
      <c r="W28" s="26"/>
      <c r="X28" s="26"/>
      <c r="Y28" s="22"/>
      <c r="Z28" s="26"/>
      <c r="AA28" s="26"/>
      <c r="AB28" s="22"/>
      <c r="AC28" s="23"/>
      <c r="AD28" s="22"/>
    </row>
    <row r="29" spans="1:30" ht="27.75" customHeight="1" x14ac:dyDescent="0.3">
      <c r="A29" s="20">
        <v>25</v>
      </c>
      <c r="B29" s="22"/>
      <c r="C29" s="23"/>
      <c r="D29" s="22"/>
      <c r="E29" s="23"/>
      <c r="F29" s="22"/>
      <c r="G29" s="23"/>
      <c r="H29" s="22"/>
      <c r="I29" s="23"/>
      <c r="J29" s="22"/>
      <c r="K29" s="23"/>
      <c r="L29" s="23"/>
      <c r="M29" s="24"/>
      <c r="N29" s="24"/>
      <c r="O29" s="24"/>
      <c r="P29" s="25" t="str">
        <f t="shared" si="0"/>
        <v/>
      </c>
      <c r="Q29" s="26"/>
      <c r="R29" s="26"/>
      <c r="S29" s="22"/>
      <c r="T29" s="26"/>
      <c r="U29" s="26"/>
      <c r="V29" s="22"/>
      <c r="W29" s="26"/>
      <c r="X29" s="26"/>
      <c r="Y29" s="22"/>
      <c r="Z29" s="26"/>
      <c r="AA29" s="26"/>
      <c r="AB29" s="22"/>
      <c r="AC29" s="23"/>
      <c r="AD29" s="22"/>
    </row>
    <row r="30" spans="1:30" ht="27.75" customHeight="1" x14ac:dyDescent="0.3">
      <c r="A30" s="20">
        <v>26</v>
      </c>
      <c r="B30" s="22"/>
      <c r="C30" s="23"/>
      <c r="D30" s="22"/>
      <c r="E30" s="23"/>
      <c r="F30" s="22"/>
      <c r="G30" s="23"/>
      <c r="H30" s="22"/>
      <c r="I30" s="23"/>
      <c r="J30" s="22"/>
      <c r="K30" s="23"/>
      <c r="L30" s="23"/>
      <c r="M30" s="24"/>
      <c r="N30" s="24"/>
      <c r="O30" s="24"/>
      <c r="P30" s="25" t="str">
        <f t="shared" si="0"/>
        <v/>
      </c>
      <c r="Q30" s="26"/>
      <c r="R30" s="26"/>
      <c r="S30" s="22"/>
      <c r="T30" s="26"/>
      <c r="U30" s="26"/>
      <c r="V30" s="22"/>
      <c r="W30" s="26"/>
      <c r="X30" s="26"/>
      <c r="Y30" s="22"/>
      <c r="Z30" s="26"/>
      <c r="AA30" s="26"/>
      <c r="AB30" s="22"/>
      <c r="AC30" s="23"/>
      <c r="AD30" s="22"/>
    </row>
    <row r="31" spans="1:30" ht="27.75" customHeight="1" x14ac:dyDescent="0.3">
      <c r="A31" s="20">
        <v>27</v>
      </c>
      <c r="B31" s="22"/>
      <c r="C31" s="23"/>
      <c r="D31" s="22"/>
      <c r="E31" s="23"/>
      <c r="F31" s="22"/>
      <c r="G31" s="23"/>
      <c r="H31" s="22"/>
      <c r="I31" s="23"/>
      <c r="J31" s="22"/>
      <c r="K31" s="23"/>
      <c r="L31" s="23"/>
      <c r="M31" s="24"/>
      <c r="N31" s="24"/>
      <c r="O31" s="24"/>
      <c r="P31" s="25" t="str">
        <f t="shared" si="0"/>
        <v/>
      </c>
      <c r="Q31" s="26"/>
      <c r="R31" s="26"/>
      <c r="S31" s="22"/>
      <c r="T31" s="26"/>
      <c r="U31" s="26"/>
      <c r="V31" s="22"/>
      <c r="W31" s="26"/>
      <c r="X31" s="26"/>
      <c r="Y31" s="22"/>
      <c r="Z31" s="26"/>
      <c r="AA31" s="26"/>
      <c r="AB31" s="22"/>
      <c r="AC31" s="23"/>
      <c r="AD31" s="22"/>
    </row>
    <row r="32" spans="1:30" ht="27.75" customHeight="1" x14ac:dyDescent="0.3">
      <c r="A32" s="20">
        <v>28</v>
      </c>
      <c r="B32" s="22"/>
      <c r="C32" s="23"/>
      <c r="D32" s="22"/>
      <c r="E32" s="23"/>
      <c r="F32" s="22"/>
      <c r="G32" s="23"/>
      <c r="H32" s="22"/>
      <c r="I32" s="23"/>
      <c r="J32" s="22"/>
      <c r="K32" s="23"/>
      <c r="L32" s="23"/>
      <c r="M32" s="24"/>
      <c r="N32" s="24"/>
      <c r="O32" s="24"/>
      <c r="P32" s="25" t="str">
        <f t="shared" si="0"/>
        <v/>
      </c>
      <c r="Q32" s="26"/>
      <c r="R32" s="26"/>
      <c r="S32" s="22"/>
      <c r="T32" s="26"/>
      <c r="U32" s="26"/>
      <c r="V32" s="22"/>
      <c r="W32" s="26"/>
      <c r="X32" s="26"/>
      <c r="Y32" s="22"/>
      <c r="Z32" s="26"/>
      <c r="AA32" s="26"/>
      <c r="AB32" s="22"/>
      <c r="AC32" s="23"/>
      <c r="AD32" s="22"/>
    </row>
    <row r="33" spans="1:30" ht="27.75" customHeight="1" x14ac:dyDescent="0.3">
      <c r="A33" s="20">
        <v>29</v>
      </c>
      <c r="B33" s="22"/>
      <c r="C33" s="23"/>
      <c r="D33" s="22"/>
      <c r="E33" s="23"/>
      <c r="F33" s="22"/>
      <c r="G33" s="23"/>
      <c r="H33" s="22"/>
      <c r="I33" s="23"/>
      <c r="J33" s="22"/>
      <c r="K33" s="23"/>
      <c r="L33" s="23"/>
      <c r="M33" s="24"/>
      <c r="N33" s="24"/>
      <c r="O33" s="24"/>
      <c r="P33" s="25" t="str">
        <f t="shared" si="0"/>
        <v/>
      </c>
      <c r="Q33" s="26"/>
      <c r="R33" s="26"/>
      <c r="S33" s="22"/>
      <c r="T33" s="26"/>
      <c r="U33" s="26"/>
      <c r="V33" s="22"/>
      <c r="W33" s="26"/>
      <c r="X33" s="26"/>
      <c r="Y33" s="22"/>
      <c r="Z33" s="26"/>
      <c r="AA33" s="26"/>
      <c r="AB33" s="22"/>
      <c r="AC33" s="23"/>
      <c r="AD33" s="22"/>
    </row>
    <row r="34" spans="1:30" ht="27.75" customHeight="1" x14ac:dyDescent="0.3">
      <c r="A34" s="20">
        <v>30</v>
      </c>
      <c r="B34" s="22"/>
      <c r="C34" s="23"/>
      <c r="D34" s="22"/>
      <c r="E34" s="23"/>
      <c r="F34" s="22"/>
      <c r="G34" s="23"/>
      <c r="H34" s="22"/>
      <c r="I34" s="23"/>
      <c r="J34" s="22"/>
      <c r="K34" s="23"/>
      <c r="L34" s="23"/>
      <c r="M34" s="24"/>
      <c r="N34" s="24"/>
      <c r="O34" s="24"/>
      <c r="P34" s="25" t="str">
        <f t="shared" si="0"/>
        <v/>
      </c>
      <c r="Q34" s="26"/>
      <c r="R34" s="26"/>
      <c r="S34" s="22"/>
      <c r="T34" s="26"/>
      <c r="U34" s="26"/>
      <c r="V34" s="22"/>
      <c r="W34" s="26"/>
      <c r="X34" s="26"/>
      <c r="Y34" s="22"/>
      <c r="Z34" s="26"/>
      <c r="AA34" s="26"/>
      <c r="AB34" s="22"/>
      <c r="AC34" s="23"/>
      <c r="AD34" s="22"/>
    </row>
  </sheetData>
  <mergeCells count="2">
    <mergeCell ref="A1:AD1"/>
    <mergeCell ref="A2:AD2"/>
  </mergeCells>
  <dataValidations count="5">
    <dataValidation type="list" allowBlank="1" sqref="J5:J34" xr:uid="{00000000-0002-0000-0100-000000000000}">
      <formula1>tbl_jenjang_nama</formula1>
      <formula2>0</formula2>
    </dataValidation>
    <dataValidation type="list" allowBlank="1" sqref="S5:S34 V5:V34 Y5:Y34 AB5:AB34" xr:uid="{00000000-0002-0000-0100-000001000000}">
      <formula1>tbl_predikat_nama</formula1>
      <formula2>0</formula2>
    </dataValidation>
    <dataValidation type="list" allowBlank="1" sqref="H5:H34" xr:uid="{00000000-0002-0000-0100-000002000000}">
      <formula1>"III/a,III/b,III/c,III/d,IV/a,IV/b,IV/c,IV/d,IV/e"</formula1>
      <formula2>0</formula2>
    </dataValidation>
    <dataValidation type="list" allowBlank="1" sqref="F5:F34" xr:uid="{00000000-0002-0000-0100-000003000000}">
      <formula1>"LAKI-LAKI,PEREMPUAN"</formula1>
      <formula2>0</formula2>
    </dataValidation>
    <dataValidation type="whole" allowBlank="1" errorTitle="Input salah" error="Bulan harus 0-12" sqref="R5:R34 U5:U34 X5:X34 AA5:AA34" xr:uid="{00000000-0002-0000-0100-000004000000}">
      <formula1>0</formula1>
      <formula2>12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9"/>
  <sheetViews>
    <sheetView zoomScaleNormal="100" workbookViewId="0">
      <selection activeCell="K11" sqref="K11"/>
    </sheetView>
  </sheetViews>
  <sheetFormatPr defaultColWidth="8.796875" defaultRowHeight="13" x14ac:dyDescent="0.3"/>
  <cols>
    <col min="1" max="1" width="6" customWidth="1"/>
    <col min="2" max="3" width="10" customWidth="1"/>
    <col min="4" max="4" width="2" customWidth="1"/>
    <col min="5" max="8" width="16" customWidth="1"/>
  </cols>
  <sheetData>
    <row r="1" spans="1:8" ht="21.75" customHeight="1" x14ac:dyDescent="0.3">
      <c r="A1" s="11" t="s">
        <v>76</v>
      </c>
      <c r="B1" s="11"/>
      <c r="C1" s="11"/>
      <c r="D1" s="11"/>
      <c r="E1" s="11"/>
      <c r="F1" s="11"/>
      <c r="G1" s="11"/>
      <c r="H1" s="11"/>
    </row>
    <row r="2" spans="1:8" ht="21.75" customHeight="1" x14ac:dyDescent="0.3">
      <c r="A2" s="11" t="s">
        <v>77</v>
      </c>
      <c r="B2" s="11"/>
      <c r="C2" s="11"/>
      <c r="D2" s="11"/>
      <c r="E2" s="11"/>
      <c r="F2" s="11"/>
      <c r="G2" s="11"/>
      <c r="H2" s="11"/>
    </row>
    <row r="3" spans="1:8" ht="15" customHeight="1" x14ac:dyDescent="0.3">
      <c r="A3" s="10" t="s">
        <v>78</v>
      </c>
      <c r="B3" s="10"/>
      <c r="C3" s="10"/>
      <c r="D3" s="10"/>
      <c r="E3" s="10"/>
      <c r="F3" s="10"/>
      <c r="G3" s="10"/>
      <c r="H3" s="10"/>
    </row>
    <row r="4" spans="1:8" ht="15" customHeight="1" x14ac:dyDescent="0.3">
      <c r="A4" s="10" t="s">
        <v>79</v>
      </c>
      <c r="B4" s="10"/>
      <c r="C4" s="10"/>
      <c r="D4" s="10"/>
      <c r="E4" s="10"/>
      <c r="F4" s="10"/>
      <c r="G4" s="10"/>
      <c r="H4" s="10"/>
    </row>
    <row r="5" spans="1:8" ht="15" customHeight="1" x14ac:dyDescent="0.3">
      <c r="A5" s="10" t="s">
        <v>80</v>
      </c>
      <c r="B5" s="10"/>
      <c r="C5" s="10"/>
      <c r="D5" s="10"/>
      <c r="E5" s="10"/>
      <c r="F5" s="10"/>
      <c r="G5" s="10"/>
      <c r="H5" s="10"/>
    </row>
    <row r="6" spans="1:8" ht="15" customHeight="1" x14ac:dyDescent="0.3">
      <c r="A6" s="10" t="s">
        <v>81</v>
      </c>
      <c r="B6" s="10"/>
      <c r="C6" s="10"/>
      <c r="D6" s="10"/>
      <c r="E6" s="10"/>
      <c r="F6" s="10"/>
      <c r="G6" s="10"/>
      <c r="H6" s="10"/>
    </row>
    <row r="7" spans="1:8" ht="4.5" customHeight="1" x14ac:dyDescent="0.3">
      <c r="A7" s="27"/>
      <c r="B7" s="27"/>
      <c r="C7" s="27"/>
      <c r="D7" s="27"/>
      <c r="E7" s="27"/>
      <c r="F7" s="27"/>
      <c r="G7" s="27"/>
      <c r="H7" s="27"/>
    </row>
    <row r="8" spans="1:8" ht="19.5" customHeight="1" x14ac:dyDescent="0.3">
      <c r="A8" s="9" t="s">
        <v>82</v>
      </c>
      <c r="B8" s="9"/>
      <c r="C8" s="8" t="s">
        <v>65</v>
      </c>
      <c r="D8" s="8"/>
      <c r="E8" s="8"/>
      <c r="F8" s="7" t="s">
        <v>83</v>
      </c>
      <c r="G8" s="7"/>
      <c r="H8" s="28">
        <v>4</v>
      </c>
    </row>
    <row r="10" spans="1:8" ht="16.149999999999999" customHeight="1" x14ac:dyDescent="0.3">
      <c r="A10" s="6" t="s">
        <v>84</v>
      </c>
      <c r="B10" s="6"/>
      <c r="C10" s="6"/>
      <c r="D10" s="6"/>
      <c r="E10" s="6"/>
      <c r="F10" s="6"/>
      <c r="G10" s="6"/>
      <c r="H10" s="6"/>
    </row>
    <row r="11" spans="1:8" ht="14" x14ac:dyDescent="0.3">
      <c r="A11" s="5" t="str">
        <f>CONCATENATE("NOMOR: 218/KPG.03.03/SMAN1CGL-",$C$8)</f>
        <v>NOMOR: 218/KPG.03.03/SMAN1CGL-199101182019031011</v>
      </c>
      <c r="B11" s="5"/>
      <c r="C11" s="5"/>
      <c r="D11" s="5"/>
      <c r="E11" s="5"/>
      <c r="F11" s="5"/>
      <c r="G11" s="5"/>
      <c r="H11" s="5"/>
    </row>
    <row r="13" spans="1:8" x14ac:dyDescent="0.3">
      <c r="A13" s="4" t="str">
        <f>CONCATENATE("Instansi : ",IFERROR(INDEX(tbl_pegawai,MATCH($C$8,tbl_nip,0),11),""))</f>
        <v>Instansi : PEMERINTAH PROVINSI JAWA BARAT</v>
      </c>
      <c r="B13" s="4"/>
      <c r="C13" s="4"/>
      <c r="D13" s="4"/>
      <c r="E13" s="3" t="str">
        <f>CONCATENATE("Periode : ",CHOOSE($H$8,Q_P1_BULAN,Q_P2_BULAN,Q_P3_BULAN,Q_P4_BULAN))</f>
        <v>Periode :  ( bulan)</v>
      </c>
      <c r="F13" s="3"/>
      <c r="G13" s="3"/>
      <c r="H13" s="3"/>
    </row>
    <row r="15" spans="1:8" ht="15" customHeight="1" x14ac:dyDescent="0.3">
      <c r="A15" s="13" t="s">
        <v>85</v>
      </c>
      <c r="B15" s="13"/>
      <c r="C15" s="13"/>
      <c r="D15" s="13"/>
      <c r="E15" s="13"/>
      <c r="F15" s="13"/>
      <c r="G15" s="13"/>
      <c r="H15" s="13"/>
    </row>
    <row r="16" spans="1:8" ht="19.5" customHeight="1" x14ac:dyDescent="0.3">
      <c r="A16" s="29" t="s">
        <v>86</v>
      </c>
      <c r="B16" s="2" t="s">
        <v>39</v>
      </c>
      <c r="C16" s="2"/>
      <c r="D16" s="29" t="s">
        <v>87</v>
      </c>
      <c r="E16" s="1" t="str">
        <f>IFERROR(INDEX(tbl_pegawai,MATCH($C$8,tbl_nip,0),2),"")</f>
        <v>ABDUL HADI HASANUDDIN, S.Pd.</v>
      </c>
      <c r="F16" s="1"/>
      <c r="G16" s="1"/>
      <c r="H16" s="1"/>
    </row>
    <row r="17" spans="1:8" ht="19.5" customHeight="1" x14ac:dyDescent="0.3">
      <c r="A17" s="29" t="s">
        <v>88</v>
      </c>
      <c r="B17" s="2" t="s">
        <v>38</v>
      </c>
      <c r="C17" s="2"/>
      <c r="D17" s="29" t="s">
        <v>87</v>
      </c>
      <c r="E17" s="1" t="str">
        <f>IFERROR(INDEX(tbl_pegawai,MATCH($C$8,tbl_nip,0),1),"")</f>
        <v>199101182019031011</v>
      </c>
      <c r="F17" s="1"/>
      <c r="G17" s="1"/>
      <c r="H17" s="1"/>
    </row>
    <row r="18" spans="1:8" ht="19.5" customHeight="1" x14ac:dyDescent="0.3">
      <c r="A18" s="29" t="s">
        <v>89</v>
      </c>
      <c r="B18" s="2" t="s">
        <v>40</v>
      </c>
      <c r="C18" s="2"/>
      <c r="D18" s="29" t="s">
        <v>87</v>
      </c>
      <c r="E18" s="1" t="str">
        <f>IFERROR(INDEX(tbl_pegawai,MATCH($C$8,tbl_nip,0),3),"")</f>
        <v>B 03050388</v>
      </c>
      <c r="F18" s="1"/>
      <c r="G18" s="1"/>
      <c r="H18" s="1"/>
    </row>
    <row r="19" spans="1:8" ht="19.5" customHeight="1" x14ac:dyDescent="0.3">
      <c r="A19" s="29" t="s">
        <v>90</v>
      </c>
      <c r="B19" s="2" t="s">
        <v>91</v>
      </c>
      <c r="C19" s="2"/>
      <c r="D19" s="29" t="s">
        <v>87</v>
      </c>
      <c r="E19" s="1" t="str">
        <f>IFERROR(INDEX(tbl_pegawai,MATCH($C$8,tbl_nip,0),4),"")</f>
        <v>TASIKMALAYA/18-01-1991</v>
      </c>
      <c r="F19" s="1"/>
      <c r="G19" s="1"/>
      <c r="H19" s="1"/>
    </row>
    <row r="20" spans="1:8" ht="19.5" customHeight="1" x14ac:dyDescent="0.3">
      <c r="A20" s="29" t="s">
        <v>92</v>
      </c>
      <c r="B20" s="2" t="s">
        <v>42</v>
      </c>
      <c r="C20" s="2"/>
      <c r="D20" s="29" t="s">
        <v>87</v>
      </c>
      <c r="E20" s="1" t="str">
        <f>IFERROR(INDEX(tbl_pegawai,MATCH($C$8,tbl_nip,0),5),"")</f>
        <v>LAKI-LAKI</v>
      </c>
      <c r="F20" s="1"/>
      <c r="G20" s="1"/>
      <c r="H20" s="1"/>
    </row>
    <row r="21" spans="1:8" ht="19.5" customHeight="1" x14ac:dyDescent="0.3">
      <c r="A21" s="29" t="s">
        <v>93</v>
      </c>
      <c r="B21" s="2" t="s">
        <v>94</v>
      </c>
      <c r="C21" s="2"/>
      <c r="D21" s="29" t="s">
        <v>87</v>
      </c>
      <c r="E21" s="1" t="str">
        <f>IFERROR(INDEX(tbl_pegawai,MATCH($C$8,tbl_nip,0),6),"")</f>
        <v>PENATA MUDA TK.I/III/b/01-08-2024</v>
      </c>
      <c r="F21" s="1"/>
      <c r="G21" s="1"/>
      <c r="H21" s="1"/>
    </row>
    <row r="22" spans="1:8" ht="19.5" customHeight="1" x14ac:dyDescent="0.3">
      <c r="A22" s="29" t="s">
        <v>95</v>
      </c>
      <c r="B22" s="2" t="s">
        <v>44</v>
      </c>
      <c r="C22" s="2"/>
      <c r="D22" s="29" t="s">
        <v>87</v>
      </c>
      <c r="E22" s="1" t="str">
        <f>IFERROR(INDEX(tbl_pegawai,MATCH($C$8,tbl_nip,0),8),"")</f>
        <v>GURU AHLI PERTAMA/01-03-2019</v>
      </c>
      <c r="F22" s="1"/>
      <c r="G22" s="1"/>
      <c r="H22" s="1"/>
    </row>
    <row r="23" spans="1:8" ht="54" customHeight="1" x14ac:dyDescent="0.3">
      <c r="A23" s="29" t="s">
        <v>96</v>
      </c>
      <c r="B23" s="2" t="s">
        <v>45</v>
      </c>
      <c r="C23" s="2"/>
      <c r="D23" s="29" t="s">
        <v>87</v>
      </c>
      <c r="E23" s="1" t="str">
        <f>IFERROR(INDEX(tbl_pegawai,MATCH($C$8,tbl_nip,0),10),"")</f>
        <v>SMAN 1 CIGALONTANG KABUPATEN TASIKMALAYA SATUAN PENDIDIKAN KABUPATEN TASIKMALAYA CABANG PENDIDIKAN WILAYAH XII DINAS PENDIDIKAN</v>
      </c>
      <c r="F23" s="1"/>
      <c r="G23" s="1"/>
      <c r="H23" s="1"/>
    </row>
    <row r="24" spans="1:8" ht="19.5" customHeight="1" x14ac:dyDescent="0.3">
      <c r="A24" s="29" t="s">
        <v>97</v>
      </c>
      <c r="B24" s="2" t="s">
        <v>46</v>
      </c>
      <c r="C24" s="2"/>
      <c r="D24" s="29" t="s">
        <v>87</v>
      </c>
      <c r="E24" s="1" t="str">
        <f>IFERROR(INDEX(tbl_pegawai,MATCH($C$8,tbl_nip,0),11),"")</f>
        <v>PEMERINTAH PROVINSI JAWA BARAT</v>
      </c>
      <c r="F24" s="1"/>
      <c r="G24" s="1"/>
      <c r="H24" s="1"/>
    </row>
    <row r="25" spans="1:8" ht="15" customHeight="1" x14ac:dyDescent="0.3">
      <c r="A25" s="13" t="s">
        <v>84</v>
      </c>
      <c r="B25" s="13"/>
      <c r="C25" s="13"/>
      <c r="D25" s="13"/>
      <c r="E25" s="13"/>
      <c r="F25" s="13"/>
      <c r="G25" s="13"/>
      <c r="H25" s="13"/>
    </row>
    <row r="26" spans="1:8" ht="19.5" customHeight="1" x14ac:dyDescent="0.3">
      <c r="A26" s="37" t="s">
        <v>98</v>
      </c>
      <c r="B26" s="37"/>
      <c r="C26" s="37"/>
      <c r="D26" s="37" t="s">
        <v>99</v>
      </c>
      <c r="E26" s="37"/>
      <c r="F26" s="37" t="s">
        <v>100</v>
      </c>
      <c r="G26" s="37"/>
      <c r="H26" s="37"/>
    </row>
    <row r="27" spans="1:8" x14ac:dyDescent="0.3">
      <c r="A27" s="37"/>
      <c r="B27" s="37"/>
      <c r="C27" s="37"/>
      <c r="D27" s="37"/>
      <c r="E27" s="37"/>
      <c r="F27" s="37"/>
      <c r="G27" s="37"/>
      <c r="H27" s="37"/>
    </row>
    <row r="28" spans="1:8" ht="19.5" customHeight="1" x14ac:dyDescent="0.3">
      <c r="A28" s="37" t="s">
        <v>2</v>
      </c>
      <c r="B28" s="37"/>
      <c r="C28" s="31" t="s">
        <v>3</v>
      </c>
      <c r="D28" s="37"/>
      <c r="E28" s="37"/>
      <c r="F28" s="37"/>
      <c r="G28" s="37"/>
      <c r="H28" s="37"/>
    </row>
    <row r="29" spans="1:8" ht="15.75" customHeight="1" x14ac:dyDescent="0.3">
      <c r="A29" s="37" t="s">
        <v>86</v>
      </c>
      <c r="B29" s="37"/>
      <c r="C29" s="31" t="s">
        <v>88</v>
      </c>
      <c r="D29" s="37" t="s">
        <v>89</v>
      </c>
      <c r="E29" s="37"/>
      <c r="F29" s="37" t="s">
        <v>90</v>
      </c>
      <c r="G29" s="37"/>
      <c r="H29" s="37"/>
    </row>
    <row r="30" spans="1:8" ht="21.75" customHeight="1" x14ac:dyDescent="0.3">
      <c r="A30" s="38">
        <f>CHOOSE($H$8,IFERROR(INDEX(tbl_pegawai,MATCH($C$8,tbl_nip,0),18),""),IFERROR(INDEX(tbl_pegawai,MATCH($C$8,tbl_nip,0),21),""),IFERROR(INDEX(tbl_pegawai,MATCH($C$8,tbl_nip,0),24),""),IFERROR(INDEX(tbl_pegawai,MATCH($C$8,tbl_nip,0),27),""))</f>
        <v>0</v>
      </c>
      <c r="B30" s="38"/>
      <c r="C30" s="18">
        <f>IFERROR(VLOOKUP(CHOOSE($H$8,IFERROR(INDEX(tbl_pegawai,MATCH($C$8,tbl_nip,0),18),""),IFERROR(INDEX(tbl_pegawai,MATCH($C$8,tbl_nip,0),21),""),IFERROR(INDEX(tbl_pegawai,MATCH($C$8,tbl_nip,0),24),""),IFERROR(INDEX(tbl_pegawai,MATCH($C$8,tbl_nip,0),27),"")),tbl_predikat,2,FALSE()),0)</f>
        <v>0</v>
      </c>
      <c r="D30" s="39">
        <f>IFERROR(VLOOKUP(IFERROR(INDEX(tbl_pegawai,MATCH($C$8,tbl_nip,0),9),""),tbl_jenjang,2,FALSE()),0)</f>
        <v>12.5</v>
      </c>
      <c r="E30" s="39"/>
      <c r="F30" s="40">
        <f>IFERROR(C30*D30*IFERROR(VALUE(CHOOSE($H$8,IFERROR(INDEX(tbl_pegawai,MATCH($C$8,tbl_nip,0),17),""),IFERROR(INDEX(tbl_pegawai,MATCH($C$8,tbl_nip,0),20),""),IFERROR(INDEX(tbl_pegawai,MATCH($C$8,tbl_nip,0),23),""),IFERROR(INDEX(tbl_pegawai,MATCH($C$8,tbl_nip,0),26),""))),12)/12,0)</f>
        <v>0</v>
      </c>
      <c r="G30" s="40"/>
      <c r="H30" s="40"/>
    </row>
    <row r="33" spans="1:8" ht="23.9" customHeight="1" x14ac:dyDescent="0.3">
      <c r="A33" s="4" t="s">
        <v>101</v>
      </c>
      <c r="B33" s="4"/>
      <c r="C33" s="4"/>
      <c r="D33" s="4"/>
      <c r="E33" s="4"/>
      <c r="F33" s="32" t="str">
        <f>"Ditetapkan di Bandung"</f>
        <v>Ditetapkan di Bandung</v>
      </c>
    </row>
    <row r="34" spans="1:8" ht="23.9" customHeight="1" x14ac:dyDescent="0.3">
      <c r="A34" s="4" t="s">
        <v>102</v>
      </c>
      <c r="B34" s="4"/>
      <c r="C34" s="4"/>
      <c r="D34" s="4"/>
      <c r="E34" s="4"/>
      <c r="F34" s="32" t="s">
        <v>103</v>
      </c>
    </row>
    <row r="35" spans="1:8" ht="23.9" customHeight="1" x14ac:dyDescent="0.3">
      <c r="A35" s="4" t="s">
        <v>104</v>
      </c>
      <c r="B35" s="4"/>
      <c r="C35" s="4"/>
      <c r="D35" s="4"/>
      <c r="E35" s="4"/>
    </row>
    <row r="36" spans="1:8" ht="23.9" customHeight="1" x14ac:dyDescent="0.3">
      <c r="A36" s="4" t="s">
        <v>105</v>
      </c>
      <c r="B36" s="4"/>
      <c r="C36" s="4"/>
      <c r="D36" s="4"/>
      <c r="E36" s="4"/>
      <c r="F36" s="32" t="s">
        <v>106</v>
      </c>
    </row>
    <row r="37" spans="1:8" ht="46.25" customHeight="1" x14ac:dyDescent="0.3">
      <c r="A37" s="4" t="s">
        <v>107</v>
      </c>
      <c r="B37" s="4"/>
      <c r="C37" s="4"/>
      <c r="D37" s="4"/>
      <c r="E37" s="4"/>
      <c r="F37" s="32" t="s">
        <v>108</v>
      </c>
    </row>
    <row r="38" spans="1:8" ht="26" x14ac:dyDescent="0.3">
      <c r="A38" s="4" t="str">
        <f>CONCATENATE("5. Yth. ",IFERROR(INDEX(tbl_pegawai,MATCH($C$8,tbl_nip,0),2),""),".")</f>
        <v>5. Yth. ABDUL HADI HASANUDDIN, S.Pd..</v>
      </c>
      <c r="B38" s="4"/>
      <c r="C38" s="4"/>
      <c r="D38" s="4"/>
      <c r="E38" s="4"/>
      <c r="F38" s="32" t="s">
        <v>109</v>
      </c>
    </row>
    <row r="42" spans="1:8" ht="39" x14ac:dyDescent="0.3">
      <c r="F42" s="33" t="str">
        <f>IFERROR(INDEX(tbl_pegawai,MATCH($C$8,tbl_nip,0),28),"")</f>
        <v>Drs. ASEP SAEPUDIN, M.S.I</v>
      </c>
    </row>
    <row r="43" spans="1:8" x14ac:dyDescent="0.3">
      <c r="F43" s="32" t="s">
        <v>110</v>
      </c>
    </row>
    <row r="45" spans="1:8" ht="15" customHeight="1" x14ac:dyDescent="0.3">
      <c r="A45" s="41" t="s">
        <v>111</v>
      </c>
      <c r="B45" s="41"/>
      <c r="C45" s="41"/>
      <c r="D45" s="41"/>
      <c r="E45" s="41"/>
      <c r="F45" s="41"/>
      <c r="G45" s="41"/>
      <c r="H45" s="41"/>
    </row>
    <row r="46" spans="1:8" ht="15" customHeight="1" x14ac:dyDescent="0.3">
      <c r="A46" s="41" t="s">
        <v>112</v>
      </c>
      <c r="B46" s="41"/>
      <c r="C46" s="41"/>
      <c r="D46" s="41"/>
      <c r="E46" s="41"/>
      <c r="F46" s="41"/>
      <c r="G46" s="41"/>
      <c r="H46" s="41"/>
    </row>
    <row r="47" spans="1:8" ht="15" customHeight="1" x14ac:dyDescent="0.3">
      <c r="A47" s="41" t="s">
        <v>113</v>
      </c>
      <c r="B47" s="41"/>
      <c r="C47" s="41"/>
      <c r="D47" s="41"/>
      <c r="E47" s="41"/>
      <c r="F47" s="41"/>
      <c r="G47" s="41"/>
      <c r="H47" s="41"/>
    </row>
    <row r="48" spans="1:8" ht="15" customHeight="1" x14ac:dyDescent="0.3">
      <c r="A48" s="42" t="s">
        <v>114</v>
      </c>
      <c r="B48" s="42"/>
      <c r="C48" s="42"/>
      <c r="D48" s="42"/>
      <c r="E48" s="42"/>
      <c r="F48" s="42"/>
      <c r="G48" s="42"/>
      <c r="H48" s="42"/>
    </row>
    <row r="49" spans="1:8" ht="15" customHeight="1" x14ac:dyDescent="0.3">
      <c r="A49" s="41" t="s">
        <v>115</v>
      </c>
      <c r="B49" s="41"/>
      <c r="C49" s="41"/>
      <c r="D49" s="41"/>
      <c r="E49" s="41"/>
      <c r="F49" s="41"/>
      <c r="G49" s="41"/>
      <c r="H49" s="41"/>
    </row>
  </sheetData>
  <mergeCells count="56">
    <mergeCell ref="A49:H49"/>
    <mergeCell ref="A38:E38"/>
    <mergeCell ref="A45:H45"/>
    <mergeCell ref="A46:H46"/>
    <mergeCell ref="A47:H47"/>
    <mergeCell ref="A48:H48"/>
    <mergeCell ref="A33:E33"/>
    <mergeCell ref="A34:E34"/>
    <mergeCell ref="A35:E35"/>
    <mergeCell ref="A36:E36"/>
    <mergeCell ref="A37:E37"/>
    <mergeCell ref="A29:B29"/>
    <mergeCell ref="D29:E29"/>
    <mergeCell ref="F29:H29"/>
    <mergeCell ref="A30:B30"/>
    <mergeCell ref="D30:E30"/>
    <mergeCell ref="F30:H30"/>
    <mergeCell ref="A26:C27"/>
    <mergeCell ref="D26:E27"/>
    <mergeCell ref="F26:H27"/>
    <mergeCell ref="A28:B28"/>
    <mergeCell ref="D28:E28"/>
    <mergeCell ref="F28:H28"/>
    <mergeCell ref="B23:C23"/>
    <mergeCell ref="E23:H23"/>
    <mergeCell ref="B24:C24"/>
    <mergeCell ref="E24:H24"/>
    <mergeCell ref="A25:H25"/>
    <mergeCell ref="B20:C20"/>
    <mergeCell ref="E20:H20"/>
    <mergeCell ref="B21:C21"/>
    <mergeCell ref="E21:H21"/>
    <mergeCell ref="B22:C22"/>
    <mergeCell ref="E22:H22"/>
    <mergeCell ref="B17:C17"/>
    <mergeCell ref="E17:H17"/>
    <mergeCell ref="B18:C18"/>
    <mergeCell ref="E18:H18"/>
    <mergeCell ref="B19:C19"/>
    <mergeCell ref="E19:H19"/>
    <mergeCell ref="A11:H11"/>
    <mergeCell ref="A13:D13"/>
    <mergeCell ref="E13:H13"/>
    <mergeCell ref="A15:H15"/>
    <mergeCell ref="B16:C16"/>
    <mergeCell ref="E16:H16"/>
    <mergeCell ref="A6:H6"/>
    <mergeCell ref="A8:B8"/>
    <mergeCell ref="C8:E8"/>
    <mergeCell ref="F8:G8"/>
    <mergeCell ref="A10:H10"/>
    <mergeCell ref="A1:H1"/>
    <mergeCell ref="A2:H2"/>
    <mergeCell ref="A3:H3"/>
    <mergeCell ref="A4:H4"/>
    <mergeCell ref="A5:H5"/>
  </mergeCells>
  <dataValidations count="2">
    <dataValidation type="list" sqref="C8" xr:uid="{00000000-0002-0000-0200-000000000000}">
      <formula1>tbl_nip</formula1>
      <formula2>0</formula2>
    </dataValidation>
    <dataValidation type="list" sqref="H8" xr:uid="{00000000-0002-0000-0200-000001000000}">
      <formula1>"1,2,3,4"</formula1>
      <formula2>0</formula2>
    </dataValidation>
  </dataValidations>
  <printOptions horizontalCentered="1"/>
  <pageMargins left="0.59027777777777801" right="0.59027777777777801" top="0.59027777777777801" bottom="0.59027777777777801" header="0.511811023622047" footer="0.511811023622047"/>
  <pageSetup paperSize="0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2"/>
  <sheetViews>
    <sheetView topLeftCell="A19" zoomScaleNormal="100" workbookViewId="0">
      <selection activeCell="B31" sqref="B31"/>
    </sheetView>
  </sheetViews>
  <sheetFormatPr defaultColWidth="8.796875" defaultRowHeight="13" x14ac:dyDescent="0.3"/>
  <cols>
    <col min="1" max="1" width="5.09765625" bestFit="1" customWidth="1"/>
    <col min="2" max="2" width="10.59765625" bestFit="1" customWidth="1"/>
    <col min="3" max="3" width="11" bestFit="1" customWidth="1"/>
    <col min="4" max="4" width="12.69921875" bestFit="1" customWidth="1"/>
    <col min="5" max="5" width="1.5" bestFit="1" customWidth="1"/>
    <col min="6" max="6" width="18" customWidth="1"/>
    <col min="7" max="10" width="14" customWidth="1"/>
  </cols>
  <sheetData>
    <row r="1" spans="1:10" ht="21.75" customHeight="1" x14ac:dyDescent="0.3">
      <c r="A1" s="11" t="s">
        <v>76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75" customHeight="1" x14ac:dyDescent="0.3">
      <c r="A2" s="11" t="s">
        <v>77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" customHeight="1" x14ac:dyDescent="0.3">
      <c r="A3" s="10" t="s">
        <v>78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" customHeight="1" x14ac:dyDescent="0.3">
      <c r="A4" s="10" t="s">
        <v>79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" customHeight="1" x14ac:dyDescent="0.3">
      <c r="A5" s="10" t="s">
        <v>80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" customHeight="1" x14ac:dyDescent="0.3">
      <c r="A6" s="10" t="s">
        <v>81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4.5" customHeight="1" x14ac:dyDescent="0.3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0" ht="19.5" customHeight="1" x14ac:dyDescent="0.3">
      <c r="A8" s="9" t="s">
        <v>82</v>
      </c>
      <c r="B8" s="9"/>
      <c r="C8" s="8" t="s">
        <v>65</v>
      </c>
      <c r="D8" s="8"/>
      <c r="E8" s="8"/>
      <c r="F8" s="8"/>
    </row>
    <row r="10" spans="1:10" ht="16.149999999999999" customHeight="1" x14ac:dyDescent="0.3">
      <c r="A10" s="6" t="s">
        <v>116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ht="14" x14ac:dyDescent="0.3">
      <c r="A11" s="5" t="str">
        <f>CONCATENATE("NOMOR: 219/KPG.03.03/SMAN1CGL-",$C$8)</f>
        <v>NOMOR: 219/KPG.03.03/SMAN1CGL-199101182019031011</v>
      </c>
      <c r="B11" s="5"/>
      <c r="C11" s="5"/>
      <c r="D11" s="5"/>
      <c r="E11" s="5"/>
      <c r="F11" s="5"/>
      <c r="G11" s="5"/>
      <c r="H11" s="5"/>
      <c r="I11" s="5"/>
      <c r="J11" s="5"/>
    </row>
    <row r="13" spans="1:10" ht="23.9" customHeight="1" x14ac:dyDescent="0.3">
      <c r="A13" s="4" t="str">
        <f>CONCATENATE("Instansi : ",IFERROR(INDEX(tbl_pegawai,MATCH($C$8,tbl_nip,0),11),""))</f>
        <v>Instansi : PEMERINTAH PROVINSI JAWA BARAT</v>
      </c>
      <c r="B13" s="4"/>
      <c r="C13" s="4"/>
      <c r="D13" s="4"/>
      <c r="E13" s="4"/>
      <c r="F13" s="3" t="s">
        <v>117</v>
      </c>
      <c r="G13" s="3"/>
      <c r="H13" s="3"/>
      <c r="I13" s="3"/>
      <c r="J13" s="3"/>
    </row>
    <row r="15" spans="1:10" ht="15" customHeight="1" x14ac:dyDescent="0.3">
      <c r="A15" s="15" t="s">
        <v>118</v>
      </c>
      <c r="B15" s="43" t="s">
        <v>119</v>
      </c>
      <c r="C15" s="43"/>
      <c r="D15" s="43"/>
      <c r="E15" s="43"/>
      <c r="F15" s="43"/>
      <c r="G15" s="43"/>
      <c r="H15" s="43"/>
      <c r="I15" s="43"/>
      <c r="J15" s="43"/>
    </row>
    <row r="16" spans="1:10" ht="19.5" customHeight="1" x14ac:dyDescent="0.3">
      <c r="A16" s="34"/>
      <c r="B16" s="29" t="s">
        <v>86</v>
      </c>
      <c r="C16" s="2" t="s">
        <v>39</v>
      </c>
      <c r="D16" s="2"/>
      <c r="E16" s="29" t="s">
        <v>87</v>
      </c>
      <c r="F16" s="1" t="str">
        <f>IFERROR(INDEX(tbl_pegawai,MATCH($C$8,tbl_nip,0),2),"")</f>
        <v>ABDUL HADI HASANUDDIN, S.Pd.</v>
      </c>
      <c r="G16" s="1"/>
      <c r="H16" s="1"/>
      <c r="I16" s="1"/>
      <c r="J16" s="1"/>
    </row>
    <row r="17" spans="1:10" ht="19.5" customHeight="1" x14ac:dyDescent="0.3">
      <c r="A17" s="34"/>
      <c r="B17" s="29" t="s">
        <v>88</v>
      </c>
      <c r="C17" s="2" t="s">
        <v>38</v>
      </c>
      <c r="D17" s="2"/>
      <c r="E17" s="29" t="s">
        <v>87</v>
      </c>
      <c r="F17" s="1" t="str">
        <f>IFERROR(INDEX(tbl_pegawai,MATCH($C$8,tbl_nip,0),1),"")</f>
        <v>199101182019031011</v>
      </c>
      <c r="G17" s="1"/>
      <c r="H17" s="1"/>
      <c r="I17" s="1"/>
      <c r="J17" s="1"/>
    </row>
    <row r="18" spans="1:10" ht="19.5" customHeight="1" x14ac:dyDescent="0.3">
      <c r="A18" s="34"/>
      <c r="B18" s="29" t="s">
        <v>89</v>
      </c>
      <c r="C18" s="2" t="s">
        <v>40</v>
      </c>
      <c r="D18" s="2"/>
      <c r="E18" s="29" t="s">
        <v>87</v>
      </c>
      <c r="F18" s="1" t="str">
        <f>IFERROR(INDEX(tbl_pegawai,MATCH($C$8,tbl_nip,0),3),"")</f>
        <v>B 03050388</v>
      </c>
      <c r="G18" s="1"/>
      <c r="H18" s="1"/>
      <c r="I18" s="1"/>
      <c r="J18" s="1"/>
    </row>
    <row r="19" spans="1:10" ht="19.5" customHeight="1" x14ac:dyDescent="0.3">
      <c r="A19" s="34"/>
      <c r="B19" s="29" t="s">
        <v>90</v>
      </c>
      <c r="C19" s="2" t="s">
        <v>91</v>
      </c>
      <c r="D19" s="2"/>
      <c r="E19" s="29" t="s">
        <v>87</v>
      </c>
      <c r="F19" s="1" t="str">
        <f>IFERROR(INDEX(tbl_pegawai,MATCH($C$8,tbl_nip,0),4),"")</f>
        <v>TASIKMALAYA/18-01-1991</v>
      </c>
      <c r="G19" s="1"/>
      <c r="H19" s="1"/>
      <c r="I19" s="1"/>
      <c r="J19" s="1"/>
    </row>
    <row r="20" spans="1:10" ht="19.5" customHeight="1" x14ac:dyDescent="0.3">
      <c r="A20" s="34"/>
      <c r="B20" s="29" t="s">
        <v>92</v>
      </c>
      <c r="C20" s="2" t="s">
        <v>42</v>
      </c>
      <c r="D20" s="2"/>
      <c r="E20" s="29" t="s">
        <v>87</v>
      </c>
      <c r="F20" s="1" t="str">
        <f>IFERROR(INDEX(tbl_pegawai,MATCH($C$8,tbl_nip,0),5),"")</f>
        <v>LAKI-LAKI</v>
      </c>
      <c r="G20" s="1"/>
      <c r="H20" s="1"/>
      <c r="I20" s="1"/>
      <c r="J20" s="1"/>
    </row>
    <row r="21" spans="1:10" ht="19.5" customHeight="1" x14ac:dyDescent="0.3">
      <c r="A21" s="34"/>
      <c r="B21" s="29" t="s">
        <v>93</v>
      </c>
      <c r="C21" s="2" t="s">
        <v>94</v>
      </c>
      <c r="D21" s="2"/>
      <c r="E21" s="29" t="s">
        <v>87</v>
      </c>
      <c r="F21" s="1" t="str">
        <f>IFERROR(INDEX(tbl_pegawai,MATCH($C$8,tbl_nip,0),6),"")</f>
        <v>PENATA MUDA TK.I/III/b/01-08-2024</v>
      </c>
      <c r="G21" s="1"/>
      <c r="H21" s="1"/>
      <c r="I21" s="1"/>
      <c r="J21" s="1"/>
    </row>
    <row r="22" spans="1:10" ht="19.5" customHeight="1" x14ac:dyDescent="0.3">
      <c r="A22" s="34"/>
      <c r="B22" s="29" t="s">
        <v>95</v>
      </c>
      <c r="C22" s="2" t="s">
        <v>44</v>
      </c>
      <c r="D22" s="2"/>
      <c r="E22" s="29" t="s">
        <v>87</v>
      </c>
      <c r="F22" s="1" t="str">
        <f>IFERROR(INDEX(tbl_pegawai,MATCH($C$8,tbl_nip,0),8),"")</f>
        <v>GURU AHLI PERTAMA/01-03-2019</v>
      </c>
      <c r="G22" s="1"/>
      <c r="H22" s="1"/>
      <c r="I22" s="1"/>
      <c r="J22" s="1"/>
    </row>
    <row r="23" spans="1:10" ht="54" customHeight="1" x14ac:dyDescent="0.3">
      <c r="A23" s="34"/>
      <c r="B23" s="29" t="s">
        <v>96</v>
      </c>
      <c r="C23" s="2" t="s">
        <v>45</v>
      </c>
      <c r="D23" s="2"/>
      <c r="E23" s="29" t="s">
        <v>87</v>
      </c>
      <c r="F23" s="1" t="str">
        <f>IFERROR(INDEX(tbl_pegawai,MATCH($C$8,tbl_nip,0),10),"")</f>
        <v>SMAN 1 CIGALONTANG KABUPATEN TASIKMALAYA SATUAN PENDIDIKAN KABUPATEN TASIKMALAYA CABANG PENDIDIKAN WILAYAH XII DINAS PENDIDIKAN</v>
      </c>
      <c r="G23" s="1"/>
      <c r="H23" s="1"/>
      <c r="I23" s="1"/>
      <c r="J23" s="1"/>
    </row>
    <row r="24" spans="1:10" ht="19.5" customHeight="1" x14ac:dyDescent="0.3">
      <c r="A24" s="34"/>
      <c r="B24" s="29" t="s">
        <v>97</v>
      </c>
      <c r="C24" s="2" t="s">
        <v>46</v>
      </c>
      <c r="D24" s="2"/>
      <c r="E24" s="29" t="s">
        <v>87</v>
      </c>
      <c r="F24" s="1" t="str">
        <f>IFERROR(INDEX(tbl_pegawai,MATCH($C$8,tbl_nip,0),11),"")</f>
        <v>PEMERINTAH PROVINSI JAWA BARAT</v>
      </c>
      <c r="G24" s="1"/>
      <c r="H24" s="1"/>
      <c r="I24" s="1"/>
      <c r="J24" s="1"/>
    </row>
    <row r="25" spans="1:10" ht="15" customHeight="1" x14ac:dyDescent="0.3">
      <c r="A25" s="13" t="s">
        <v>120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19.5" customHeight="1" x14ac:dyDescent="0.3">
      <c r="A26" s="37" t="s">
        <v>121</v>
      </c>
      <c r="B26" s="37"/>
      <c r="C26" s="37"/>
      <c r="D26" s="37"/>
      <c r="E26" s="37" t="s">
        <v>122</v>
      </c>
      <c r="F26" s="37"/>
      <c r="G26" s="37" t="s">
        <v>123</v>
      </c>
      <c r="H26" s="37"/>
      <c r="I26" s="37"/>
      <c r="J26" s="37"/>
    </row>
    <row r="27" spans="1:10" ht="27.75" customHeight="1" x14ac:dyDescent="0.3">
      <c r="A27" s="31" t="s">
        <v>124</v>
      </c>
      <c r="B27" s="31" t="s">
        <v>125</v>
      </c>
      <c r="C27" s="31" t="s">
        <v>2</v>
      </c>
      <c r="D27" s="31" t="s">
        <v>3</v>
      </c>
      <c r="E27" s="37"/>
      <c r="F27" s="37"/>
      <c r="G27" s="37"/>
      <c r="H27" s="37"/>
      <c r="I27" s="37"/>
      <c r="J27" s="37"/>
    </row>
    <row r="28" spans="1:10" ht="15.75" customHeight="1" x14ac:dyDescent="0.3">
      <c r="A28" s="31" t="s">
        <v>86</v>
      </c>
      <c r="B28" s="31" t="s">
        <v>88</v>
      </c>
      <c r="C28" s="31" t="s">
        <v>89</v>
      </c>
      <c r="D28" s="31" t="s">
        <v>90</v>
      </c>
      <c r="E28" s="37" t="s">
        <v>92</v>
      </c>
      <c r="F28" s="37"/>
      <c r="G28" s="37" t="s">
        <v>93</v>
      </c>
      <c r="H28" s="37"/>
      <c r="I28" s="37"/>
      <c r="J28" s="37"/>
    </row>
    <row r="29" spans="1:10" ht="21.75" customHeight="1" x14ac:dyDescent="0.3">
      <c r="A29" s="21">
        <f>IF(OR(IFERROR(INDEX(tbl_pegawai,MATCH($C$8,tbl_nip,0),16),"")="",IFERROR(INDEX(tbl_pegawai,MATCH($C$8,tbl_nip,0),16),"")=0),"",IFERROR(INDEX(tbl_pegawai,MATCH($C$8,tbl_nip,0),16),""))</f>
        <v>2023</v>
      </c>
      <c r="B29" s="20" t="str">
        <f>IF(OR(IFERROR(INDEX(tbl_pegawai,MATCH($C$8,tbl_nip,0),16),"")="",IFERROR(INDEX(tbl_pegawai,MATCH($C$8,tbl_nip,0),16),"")=0),"",IF(IFERROR(INDEX(tbl_pegawai,MATCH($C$8,tbl_nip,0),17),"")="","",CONCATENATE(IFERROR(INDEX(tbl_pegawai,MATCH($C$8,tbl_nip,0),17),"")," Bulan")))</f>
        <v>6 Bulan</v>
      </c>
      <c r="C29" s="20" t="str">
        <f>IF(OR(IFERROR(INDEX(tbl_pegawai,MATCH($C$8,tbl_nip,0),16),"")="",IFERROR(INDEX(tbl_pegawai,MATCH($C$8,tbl_nip,0),16),"")=0),"",IFERROR(INDEX(tbl_pegawai,MATCH($C$8,tbl_nip,0),18),""))</f>
        <v>Sangat Baik</v>
      </c>
      <c r="D29" s="18">
        <f>IF(OR(IFERROR(INDEX(tbl_pegawai,MATCH($C$8,tbl_nip,0),16),"")="",IFERROR(INDEX(tbl_pegawai,MATCH($C$8,tbl_nip,0),16),"")=0),"",IFERROR(VLOOKUP(IFERROR(INDEX(tbl_pegawai,MATCH($C$8,tbl_nip,0),18),""),tbl_predikat,2,FALSE()),""))</f>
        <v>1.5</v>
      </c>
      <c r="E29" s="39">
        <f>IF(OR(IFERROR(INDEX(tbl_pegawai,MATCH($C$8,tbl_nip,0),16),"")="",IFERROR(INDEX(tbl_pegawai,MATCH($C$8,tbl_nip,0),16),"")=0),"",IFERROR(VLOOKUP(IFERROR(INDEX(tbl_pegawai,MATCH($C$8,tbl_nip,0),9),""),tbl_jenjang,2,FALSE()),""))</f>
        <v>12.5</v>
      </c>
      <c r="F29" s="39"/>
      <c r="G29" s="40">
        <f>IF(OR(IFERROR(INDEX(tbl_pegawai,MATCH($C$8,tbl_nip,0),16),"")="",IFERROR(INDEX(tbl_pegawai,MATCH($C$8,tbl_nip,0),16),"")=0),"",IFERROR(IF(OR(IFERROR(INDEX(tbl_pegawai,MATCH($C$8,tbl_nip,0),18),"")="",IFERROR(INDEX(tbl_pegawai,MATCH($C$8,tbl_nip,0),17),"")=""),"",VLOOKUP(IFERROR(INDEX(tbl_pegawai,MATCH($C$8,tbl_nip,0),9),""),tbl_jenjang,2,FALSE())*VLOOKUP(IFERROR(INDEX(tbl_pegawai,MATCH($C$8,tbl_nip,0),18),""),tbl_predikat,2,FALSE())*IFERROR(INDEX(tbl_pegawai,MATCH($C$8,tbl_nip,0),17),"")/12),""))</f>
        <v>9.375</v>
      </c>
      <c r="H29" s="40"/>
      <c r="I29" s="40"/>
      <c r="J29" s="40"/>
    </row>
    <row r="30" spans="1:10" ht="21.75" customHeight="1" x14ac:dyDescent="0.3">
      <c r="A30" s="21">
        <f>IF(OR(IFERROR(INDEX(tbl_pegawai,MATCH($C$8,tbl_nip,0),19),"")="",IFERROR(INDEX(tbl_pegawai,MATCH($C$8,tbl_nip,0),19),"")=0),"",IFERROR(INDEX(tbl_pegawai,MATCH($C$8,tbl_nip,0),19),""))</f>
        <v>2024</v>
      </c>
      <c r="B30" s="20" t="str">
        <f>IF(OR(IFERROR(INDEX(tbl_pegawai,MATCH($C$8,tbl_nip,0),19),"")="",IFERROR(INDEX(tbl_pegawai,MATCH($C$8,tbl_nip,0),19),"")=0),"",IF(IFERROR(INDEX(tbl_pegawai,MATCH($C$8,tbl_nip,0),20),"")="","",CONCATENATE(IFERROR(INDEX(tbl_pegawai,MATCH($C$8,tbl_nip,0),20),"")," Bulan")))</f>
        <v>12 Bulan</v>
      </c>
      <c r="C30" s="20" t="str">
        <f>IF(OR(IFERROR(INDEX(tbl_pegawai,MATCH($C$8,tbl_nip,0),19),"")="",IFERROR(INDEX(tbl_pegawai,MATCH($C$8,tbl_nip,0),19),"")=0),"",IFERROR(INDEX(tbl_pegawai,MATCH($C$8,tbl_nip,0),21),""))</f>
        <v>Sangat Baik</v>
      </c>
      <c r="D30" s="18">
        <f>IF(OR(IFERROR(INDEX(tbl_pegawai,MATCH($C$8,tbl_nip,0),19),"")="",IFERROR(INDEX(tbl_pegawai,MATCH($C$8,tbl_nip,0),19),"")=0),"",IFERROR(VLOOKUP(IFERROR(INDEX(tbl_pegawai,MATCH($C$8,tbl_nip,0),21),""),tbl_predikat,2,FALSE()),""))</f>
        <v>1.5</v>
      </c>
      <c r="E30" s="39">
        <f>IF(OR(IFERROR(INDEX(tbl_pegawai,MATCH($C$8,tbl_nip,0),19),"")="",IFERROR(INDEX(tbl_pegawai,MATCH($C$8,tbl_nip,0),19),"")=0),"",IFERROR(VLOOKUP(IFERROR(INDEX(tbl_pegawai,MATCH($C$8,tbl_nip,0),9),""),tbl_jenjang,2,FALSE()),""))</f>
        <v>12.5</v>
      </c>
      <c r="F30" s="39"/>
      <c r="G30" s="40">
        <f>IF(OR(IFERROR(INDEX(tbl_pegawai,MATCH($C$8,tbl_nip,0),19),"")="",IFERROR(INDEX(tbl_pegawai,MATCH($C$8,tbl_nip,0),19),"")=0),"",IFERROR(IF(OR(IFERROR(INDEX(tbl_pegawai,MATCH($C$8,tbl_nip,0),21),"")="",IFERROR(INDEX(tbl_pegawai,MATCH($C$8,tbl_nip,0),20),"")=""),"",VLOOKUP(IFERROR(INDEX(tbl_pegawai,MATCH($C$8,tbl_nip,0),9),""),tbl_jenjang,2,FALSE())*VLOOKUP(IFERROR(INDEX(tbl_pegawai,MATCH($C$8,tbl_nip,0),21),""),tbl_predikat,2,FALSE())*IFERROR(INDEX(tbl_pegawai,MATCH($C$8,tbl_nip,0),20),"")/12),""))</f>
        <v>18.75</v>
      </c>
      <c r="H30" s="40"/>
      <c r="I30" s="40"/>
      <c r="J30" s="40"/>
    </row>
    <row r="31" spans="1:10" ht="21.75" customHeight="1" x14ac:dyDescent="0.3">
      <c r="A31" s="20">
        <f>IF(OR(IFERROR(INDEX(tbl_pegawai,MATCH($C$8,tbl_nip,0),22),"")="",IFERROR(INDEX(tbl_pegawai,MATCH($C$8,tbl_nip,0),22),"")=0),"",IFERROR(INDEX(tbl_pegawai,MATCH($C$8,tbl_nip,0),22),""))</f>
        <v>2025</v>
      </c>
      <c r="B31" s="20" t="str">
        <f>IF(OR(IFERROR(INDEX(tbl_pegawai,MATCH($C$8,tbl_nip,0),22),"")="",IFERROR(INDEX(tbl_pegawai,MATCH($C$8,tbl_nip,0),22),"")=0),"",IF(IFERROR(INDEX(tbl_pegawai,MATCH($C$8,tbl_nip,0),23),"")="","",CONCATENATE(IFERROR(INDEX(tbl_pegawai,MATCH($C$8,tbl_nip,0),23),"")," Bulan")))</f>
        <v>12 Bulan</v>
      </c>
      <c r="C31" s="20" t="str">
        <f>IF(OR(IFERROR(INDEX(tbl_pegawai,MATCH($C$8,tbl_nip,0),22),"")="",IFERROR(INDEX(tbl_pegawai,MATCH($C$8,tbl_nip,0),22),"")=0),"",IFERROR(INDEX(tbl_pegawai,MATCH($C$8,tbl_nip,0),24),""))</f>
        <v>Sangat Baik</v>
      </c>
      <c r="D31" s="18">
        <f>IF(OR(IFERROR(INDEX(tbl_pegawai,MATCH($C$8,tbl_nip,0),22),"")="",IFERROR(INDEX(tbl_pegawai,MATCH($C$8,tbl_nip,0),22),"")=0),"",IFERROR(VLOOKUP(IFERROR(INDEX(tbl_pegawai,MATCH($C$8,tbl_nip,0),24),""),tbl_predikat,2,FALSE()),""))</f>
        <v>1.5</v>
      </c>
      <c r="E31" s="39">
        <f>IF(OR(IFERROR(INDEX(tbl_pegawai,MATCH($C$8,tbl_nip,0),22),"")="",IFERROR(INDEX(tbl_pegawai,MATCH($C$8,tbl_nip,0),22),"")=0),"",IFERROR(VLOOKUP(IFERROR(INDEX(tbl_pegawai,MATCH($C$8,tbl_nip,0),9),""),tbl_jenjang,2,FALSE()),""))</f>
        <v>12.5</v>
      </c>
      <c r="F31" s="39"/>
      <c r="G31" s="40">
        <f>IF(OR(IFERROR(INDEX(tbl_pegawai,MATCH($C$8,tbl_nip,0),22),"")="",IFERROR(INDEX(tbl_pegawai,MATCH($C$8,tbl_nip,0),22),"")=0),"",IFERROR(IF(OR(IFERROR(INDEX(tbl_pegawai,MATCH($C$8,tbl_nip,0),24),"")="",IFERROR(INDEX(tbl_pegawai,MATCH($C$8,tbl_nip,0),23),"")=""),"",VLOOKUP(IFERROR(INDEX(tbl_pegawai,MATCH($C$8,tbl_nip,0),9),""),tbl_jenjang,2,FALSE())*VLOOKUP(IFERROR(INDEX(tbl_pegawai,MATCH($C$8,tbl_nip,0),24),""),tbl_predikat,2,FALSE())*IFERROR(INDEX(tbl_pegawai,MATCH($C$8,tbl_nip,0),23),"")/12),""))</f>
        <v>18.75</v>
      </c>
      <c r="H31" s="40"/>
      <c r="I31" s="40"/>
      <c r="J31" s="40"/>
    </row>
    <row r="32" spans="1:10" ht="21.75" customHeight="1" x14ac:dyDescent="0.3">
      <c r="A32" s="20" t="str">
        <f>IF(OR(IFERROR(INDEX(tbl_pegawai,MATCH($C$8,tbl_nip,0),25),"")="",IFERROR(INDEX(tbl_pegawai,MATCH($C$8,tbl_nip,0),25),"")=0),"",IFERROR(INDEX(tbl_pegawai,MATCH($C$8,tbl_nip,0),25),""))</f>
        <v/>
      </c>
      <c r="B32" s="20" t="str">
        <f>IF(OR(IFERROR(INDEX(tbl_pegawai,MATCH($C$8,tbl_nip,0),25),"")="",IFERROR(INDEX(tbl_pegawai,MATCH($C$8,tbl_nip,0),25),"")=0),"",IF(IFERROR(INDEX(tbl_pegawai,MATCH($C$8,tbl_nip,0),26),"")="","",CONCATENATE(IFERROR(INDEX(tbl_pegawai,MATCH($C$8,tbl_nip,0),26),"")," Bulan")))</f>
        <v/>
      </c>
      <c r="C32" s="20" t="str">
        <f>IF(OR(IFERROR(INDEX(tbl_pegawai,MATCH($C$8,tbl_nip,0),25),"")="",IFERROR(INDEX(tbl_pegawai,MATCH($C$8,tbl_nip,0),25),"")=0),"",IFERROR(INDEX(tbl_pegawai,MATCH($C$8,tbl_nip,0),27),""))</f>
        <v/>
      </c>
      <c r="D32" s="18" t="str">
        <f>IF(OR(IFERROR(INDEX(tbl_pegawai,MATCH($C$8,tbl_nip,0),25),"")="",IFERROR(INDEX(tbl_pegawai,MATCH($C$8,tbl_nip,0),25),"")=0),"",IFERROR(VLOOKUP(IFERROR(INDEX(tbl_pegawai,MATCH($C$8,tbl_nip,0),27),""),tbl_predikat,2,FALSE()),""))</f>
        <v/>
      </c>
      <c r="E32" s="39" t="str">
        <f>IF(OR(IFERROR(INDEX(tbl_pegawai,MATCH($C$8,tbl_nip,0),25),"")="",IFERROR(INDEX(tbl_pegawai,MATCH($C$8,tbl_nip,0),25),"")=0),"",IFERROR(VLOOKUP(IFERROR(INDEX(tbl_pegawai,MATCH($C$8,tbl_nip,0),9),""),tbl_jenjang,2,FALSE()),""))</f>
        <v/>
      </c>
      <c r="F32" s="39"/>
      <c r="G32" s="40" t="str">
        <f>IF(OR(IFERROR(INDEX(tbl_pegawai,MATCH($C$8,tbl_nip,0),25),"")="",IFERROR(INDEX(tbl_pegawai,MATCH($C$8,tbl_nip,0),25),"")=0),"",IFERROR(IF(OR(IFERROR(INDEX(tbl_pegawai,MATCH($C$8,tbl_nip,0),27),"")="",IFERROR(INDEX(tbl_pegawai,MATCH($C$8,tbl_nip,0),26),"")=""),"",VLOOKUP(IFERROR(INDEX(tbl_pegawai,MATCH($C$8,tbl_nip,0),9),""),tbl_jenjang,2,FALSE())*VLOOKUP(IFERROR(INDEX(tbl_pegawai,MATCH($C$8,tbl_nip,0),27),""),tbl_predikat,2,FALSE())*IFERROR(INDEX(tbl_pegawai,MATCH($C$8,tbl_nip,0),26),"")/12),""))</f>
        <v/>
      </c>
      <c r="H32" s="40"/>
      <c r="I32" s="40"/>
      <c r="J32" s="40"/>
    </row>
    <row r="33" spans="1:10" ht="21.75" customHeight="1" x14ac:dyDescent="0.3">
      <c r="A33" s="44" t="s">
        <v>126</v>
      </c>
      <c r="B33" s="44"/>
      <c r="C33" s="44"/>
      <c r="D33" s="44"/>
      <c r="E33" s="44"/>
      <c r="F33" s="44"/>
      <c r="G33" s="45">
        <f>SUMPRODUCT(--ISNUMBER(G29:G32),G29:G32)</f>
        <v>46.875</v>
      </c>
      <c r="H33" s="45"/>
      <c r="I33" s="45"/>
      <c r="J33" s="45"/>
    </row>
    <row r="36" spans="1:10" ht="23.9" customHeight="1" x14ac:dyDescent="0.3">
      <c r="A36" s="4" t="s">
        <v>101</v>
      </c>
      <c r="B36" s="4"/>
      <c r="C36" s="4"/>
      <c r="D36" s="4"/>
      <c r="E36" s="4"/>
      <c r="F36" s="4"/>
      <c r="G36" s="4"/>
      <c r="H36" s="32" t="s">
        <v>127</v>
      </c>
    </row>
    <row r="37" spans="1:10" ht="23.9" customHeight="1" x14ac:dyDescent="0.3">
      <c r="A37" s="4" t="s">
        <v>102</v>
      </c>
      <c r="B37" s="4"/>
      <c r="C37" s="4"/>
      <c r="D37" s="4"/>
      <c r="E37" s="4"/>
      <c r="F37" s="4"/>
      <c r="G37" s="4"/>
      <c r="H37" s="32" t="s">
        <v>103</v>
      </c>
    </row>
    <row r="38" spans="1:10" ht="15" customHeight="1" x14ac:dyDescent="0.3">
      <c r="A38" s="4" t="s">
        <v>104</v>
      </c>
      <c r="B38" s="4"/>
      <c r="C38" s="4"/>
      <c r="D38" s="4"/>
      <c r="E38" s="4"/>
      <c r="F38" s="4"/>
      <c r="G38" s="4"/>
    </row>
    <row r="39" spans="1:10" ht="23.9" customHeight="1" x14ac:dyDescent="0.3">
      <c r="A39" s="4" t="s">
        <v>105</v>
      </c>
      <c r="B39" s="4"/>
      <c r="C39" s="4"/>
      <c r="D39" s="4"/>
      <c r="E39" s="4"/>
      <c r="F39" s="4"/>
      <c r="G39" s="4"/>
      <c r="H39" s="32" t="s">
        <v>106</v>
      </c>
    </row>
    <row r="40" spans="1:10" ht="57.5" customHeight="1" x14ac:dyDescent="0.3">
      <c r="A40" s="4" t="s">
        <v>107</v>
      </c>
      <c r="B40" s="4"/>
      <c r="C40" s="4"/>
      <c r="D40" s="4"/>
      <c r="E40" s="4"/>
      <c r="F40" s="4"/>
      <c r="G40" s="4"/>
      <c r="H40" s="32" t="s">
        <v>108</v>
      </c>
    </row>
    <row r="41" spans="1:10" ht="39" x14ac:dyDescent="0.3">
      <c r="A41" s="4" t="str">
        <f>CONCATENATE("5. Yth. ",IFERROR(INDEX(tbl_pegawai,MATCH($C$8,tbl_nip,0),2),""),".")</f>
        <v>5. Yth. ABDUL HADI HASANUDDIN, S.Pd..</v>
      </c>
      <c r="B41" s="4"/>
      <c r="C41" s="4"/>
      <c r="D41" s="4"/>
      <c r="E41" s="4"/>
      <c r="F41" s="4"/>
      <c r="G41" s="4"/>
      <c r="H41" s="32" t="s">
        <v>109</v>
      </c>
    </row>
    <row r="45" spans="1:10" ht="39" x14ac:dyDescent="0.3">
      <c r="H45" s="33" t="str">
        <f>IFERROR(INDEX(tbl_pegawai,MATCH($C$8,tbl_nip,0),28),"")</f>
        <v>Drs. ASEP SAEPUDIN, M.S.I</v>
      </c>
    </row>
    <row r="46" spans="1:10" x14ac:dyDescent="0.3">
      <c r="H46" s="32" t="s">
        <v>110</v>
      </c>
    </row>
    <row r="48" spans="1:10" ht="15" customHeight="1" x14ac:dyDescent="0.3">
      <c r="A48" s="41" t="s">
        <v>111</v>
      </c>
      <c r="B48" s="41"/>
      <c r="C48" s="41"/>
      <c r="D48" s="41"/>
      <c r="E48" s="41"/>
      <c r="F48" s="41"/>
      <c r="G48" s="41"/>
      <c r="H48" s="41"/>
      <c r="I48" s="41"/>
      <c r="J48" s="41"/>
    </row>
    <row r="49" spans="1:10" ht="15" customHeight="1" x14ac:dyDescent="0.3">
      <c r="A49" s="41" t="s">
        <v>112</v>
      </c>
      <c r="B49" s="41"/>
      <c r="C49" s="41"/>
      <c r="D49" s="41"/>
      <c r="E49" s="41"/>
      <c r="F49" s="41"/>
      <c r="G49" s="41"/>
      <c r="H49" s="41"/>
      <c r="I49" s="41"/>
      <c r="J49" s="41"/>
    </row>
    <row r="50" spans="1:10" ht="15" customHeight="1" x14ac:dyDescent="0.3">
      <c r="A50" s="41" t="s">
        <v>113</v>
      </c>
      <c r="B50" s="41"/>
      <c r="C50" s="41"/>
      <c r="D50" s="41"/>
      <c r="E50" s="41"/>
      <c r="F50" s="41"/>
      <c r="G50" s="41"/>
      <c r="H50" s="41"/>
      <c r="I50" s="41"/>
      <c r="J50" s="41"/>
    </row>
    <row r="51" spans="1:10" ht="15" customHeight="1" x14ac:dyDescent="0.3">
      <c r="A51" s="42" t="s">
        <v>114</v>
      </c>
      <c r="B51" s="42"/>
      <c r="C51" s="42"/>
      <c r="D51" s="42"/>
      <c r="E51" s="42"/>
      <c r="F51" s="42"/>
      <c r="G51" s="42"/>
      <c r="H51" s="42"/>
      <c r="I51" s="42"/>
      <c r="J51" s="42"/>
    </row>
    <row r="52" spans="1:10" ht="15" customHeight="1" x14ac:dyDescent="0.3">
      <c r="A52" s="41" t="s">
        <v>115</v>
      </c>
      <c r="B52" s="41"/>
      <c r="C52" s="41"/>
      <c r="D52" s="41"/>
      <c r="E52" s="41"/>
      <c r="F52" s="41"/>
      <c r="G52" s="41"/>
      <c r="H52" s="41"/>
      <c r="I52" s="41"/>
      <c r="J52" s="41"/>
    </row>
  </sheetData>
  <mergeCells count="58">
    <mergeCell ref="A48:J48"/>
    <mergeCell ref="A49:J49"/>
    <mergeCell ref="A50:J50"/>
    <mergeCell ref="A51:J51"/>
    <mergeCell ref="A52:J52"/>
    <mergeCell ref="A37:G37"/>
    <mergeCell ref="A38:G38"/>
    <mergeCell ref="A39:G39"/>
    <mergeCell ref="A40:G40"/>
    <mergeCell ref="A41:G41"/>
    <mergeCell ref="E32:F32"/>
    <mergeCell ref="G32:J32"/>
    <mergeCell ref="A33:F33"/>
    <mergeCell ref="G33:J33"/>
    <mergeCell ref="A36:G36"/>
    <mergeCell ref="E29:F29"/>
    <mergeCell ref="G29:J29"/>
    <mergeCell ref="E30:F30"/>
    <mergeCell ref="G30:J30"/>
    <mergeCell ref="E31:F31"/>
    <mergeCell ref="G31:J31"/>
    <mergeCell ref="A26:D26"/>
    <mergeCell ref="E26:F27"/>
    <mergeCell ref="G26:J27"/>
    <mergeCell ref="E28:F28"/>
    <mergeCell ref="G28:J28"/>
    <mergeCell ref="C23:D23"/>
    <mergeCell ref="F23:J23"/>
    <mergeCell ref="C24:D24"/>
    <mergeCell ref="F24:J24"/>
    <mergeCell ref="A25:J25"/>
    <mergeCell ref="C20:D20"/>
    <mergeCell ref="F20:J20"/>
    <mergeCell ref="C21:D21"/>
    <mergeCell ref="F21:J21"/>
    <mergeCell ref="C22:D22"/>
    <mergeCell ref="F22:J22"/>
    <mergeCell ref="C17:D17"/>
    <mergeCell ref="F17:J17"/>
    <mergeCell ref="C18:D18"/>
    <mergeCell ref="F18:J18"/>
    <mergeCell ref="C19:D19"/>
    <mergeCell ref="F19:J19"/>
    <mergeCell ref="A13:E13"/>
    <mergeCell ref="F13:J13"/>
    <mergeCell ref="B15:J15"/>
    <mergeCell ref="C16:D16"/>
    <mergeCell ref="F16:J16"/>
    <mergeCell ref="A6:J6"/>
    <mergeCell ref="A8:B8"/>
    <mergeCell ref="C8:F8"/>
    <mergeCell ref="A10:J10"/>
    <mergeCell ref="A11:J11"/>
    <mergeCell ref="A1:J1"/>
    <mergeCell ref="A2:J2"/>
    <mergeCell ref="A3:J3"/>
    <mergeCell ref="A4:J4"/>
    <mergeCell ref="A5:J5"/>
  </mergeCells>
  <dataValidations count="1">
    <dataValidation type="list" sqref="C8" xr:uid="{00000000-0002-0000-0300-000000000000}">
      <formula1>tbl_nip</formula1>
      <formula2>0</formula2>
    </dataValidation>
  </dataValidations>
  <printOptions horizontalCentered="1"/>
  <pageMargins left="0.59027777777777801" right="0.59027777777777801" top="0.59027777777777801" bottom="0.59027777777777801" header="0.511811023622047" footer="0.511811023622047"/>
  <pageSetup paperSize="0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7"/>
  <sheetViews>
    <sheetView tabSelected="1" topLeftCell="A19" zoomScaleNormal="100" workbookViewId="0">
      <selection activeCell="N37" sqref="N37"/>
    </sheetView>
  </sheetViews>
  <sheetFormatPr defaultColWidth="8.796875" defaultRowHeight="13" x14ac:dyDescent="0.3"/>
  <cols>
    <col min="1" max="1" width="4" customWidth="1"/>
    <col min="2" max="2" width="6" customWidth="1"/>
    <col min="3" max="3" width="24" customWidth="1"/>
    <col min="4" max="6" width="12" customWidth="1"/>
    <col min="7" max="7" width="4" customWidth="1"/>
    <col min="8" max="10" width="14" customWidth="1"/>
  </cols>
  <sheetData>
    <row r="1" spans="1:10" ht="21.75" customHeight="1" x14ac:dyDescent="0.3">
      <c r="A1" s="11" t="s">
        <v>76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75" customHeight="1" x14ac:dyDescent="0.3">
      <c r="A2" s="11" t="s">
        <v>77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" customHeight="1" x14ac:dyDescent="0.3">
      <c r="A3" s="10" t="s">
        <v>78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" customHeight="1" x14ac:dyDescent="0.3">
      <c r="A4" s="10" t="s">
        <v>79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" customHeight="1" x14ac:dyDescent="0.3">
      <c r="A5" s="10" t="s">
        <v>80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" customHeight="1" x14ac:dyDescent="0.3">
      <c r="A6" s="10" t="s">
        <v>81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4.5" customHeight="1" x14ac:dyDescent="0.3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0" ht="19.5" customHeight="1" x14ac:dyDescent="0.3">
      <c r="A8" s="9" t="s">
        <v>82</v>
      </c>
      <c r="B8" s="9"/>
      <c r="C8" s="8" t="s">
        <v>65</v>
      </c>
      <c r="D8" s="8"/>
      <c r="E8" s="8"/>
      <c r="F8" s="8"/>
    </row>
    <row r="10" spans="1:10" ht="16.149999999999999" customHeight="1" x14ac:dyDescent="0.3">
      <c r="A10" s="6" t="s">
        <v>128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ht="14" x14ac:dyDescent="0.3">
      <c r="A11" s="5" t="str">
        <f>CONCATENATE("NOMOR: 220/KPG.03.03/SMAN1CGL-",$C$8)</f>
        <v>NOMOR: 220/KPG.03.03/SMAN1CGL-199101182019031011</v>
      </c>
      <c r="B11" s="5"/>
      <c r="C11" s="5"/>
      <c r="D11" s="5"/>
      <c r="E11" s="5"/>
      <c r="F11" s="5"/>
      <c r="G11" s="5"/>
      <c r="H11" s="5"/>
      <c r="I11" s="5"/>
      <c r="J11" s="5"/>
    </row>
    <row r="13" spans="1:10" ht="15" customHeight="1" x14ac:dyDescent="0.3">
      <c r="A13" s="4" t="str">
        <f>CONCATENATE("Instansi : ",IFERROR(INDEX(tbl_pegawai,MATCH($C$8,tbl_nip,0),11),""))</f>
        <v>Instansi : PEMERINTAH PROVINSI JAWA BARAT</v>
      </c>
      <c r="B13" s="4"/>
      <c r="C13" s="4"/>
      <c r="D13" s="4"/>
      <c r="E13" s="4"/>
      <c r="F13" s="3" t="s">
        <v>129</v>
      </c>
      <c r="G13" s="3"/>
      <c r="H13" s="3"/>
      <c r="I13" s="3"/>
      <c r="J13" s="3"/>
    </row>
    <row r="15" spans="1:10" ht="15" customHeight="1" x14ac:dyDescent="0.3">
      <c r="A15" s="15" t="s">
        <v>118</v>
      </c>
      <c r="B15" s="43" t="s">
        <v>119</v>
      </c>
      <c r="C15" s="43"/>
      <c r="D15" s="43"/>
      <c r="E15" s="43"/>
      <c r="F15" s="43"/>
      <c r="G15" s="43"/>
      <c r="H15" s="43"/>
      <c r="I15" s="43"/>
      <c r="J15" s="43"/>
    </row>
    <row r="16" spans="1:10" ht="19.5" customHeight="1" x14ac:dyDescent="0.3">
      <c r="A16" s="34"/>
      <c r="B16" s="29" t="s">
        <v>86</v>
      </c>
      <c r="C16" s="30" t="s">
        <v>39</v>
      </c>
      <c r="D16" s="1" t="str">
        <f>IFERROR(INDEX(tbl_pegawai,MATCH($C$8,tbl_nip,0),2),"")</f>
        <v>ABDUL HADI HASANUDDIN, S.Pd.</v>
      </c>
      <c r="E16" s="1"/>
      <c r="F16" s="1"/>
      <c r="G16" s="1"/>
      <c r="H16" s="1"/>
      <c r="I16" s="1"/>
      <c r="J16" s="1"/>
    </row>
    <row r="17" spans="1:10" ht="19.5" customHeight="1" x14ac:dyDescent="0.3">
      <c r="A17" s="34"/>
      <c r="B17" s="29" t="s">
        <v>88</v>
      </c>
      <c r="C17" s="30" t="s">
        <v>38</v>
      </c>
      <c r="D17" s="1" t="str">
        <f>IFERROR(INDEX(tbl_pegawai,MATCH($C$8,tbl_nip,0),1),"")</f>
        <v>199101182019031011</v>
      </c>
      <c r="E17" s="1"/>
      <c r="F17" s="1"/>
      <c r="G17" s="1"/>
      <c r="H17" s="1"/>
      <c r="I17" s="1"/>
      <c r="J17" s="1"/>
    </row>
    <row r="18" spans="1:10" ht="19.5" customHeight="1" x14ac:dyDescent="0.3">
      <c r="A18" s="34"/>
      <c r="B18" s="29" t="s">
        <v>89</v>
      </c>
      <c r="C18" s="30" t="s">
        <v>40</v>
      </c>
      <c r="D18" s="1" t="str">
        <f>IFERROR(INDEX(tbl_pegawai,MATCH($C$8,tbl_nip,0),3),"")</f>
        <v>B 03050388</v>
      </c>
      <c r="E18" s="1"/>
      <c r="F18" s="1"/>
      <c r="G18" s="1"/>
      <c r="H18" s="1"/>
      <c r="I18" s="1"/>
      <c r="J18" s="1"/>
    </row>
    <row r="19" spans="1:10" ht="19.5" customHeight="1" x14ac:dyDescent="0.3">
      <c r="A19" s="34"/>
      <c r="B19" s="29" t="s">
        <v>90</v>
      </c>
      <c r="C19" s="30" t="s">
        <v>130</v>
      </c>
      <c r="D19" s="1" t="str">
        <f>IFERROR(INDEX(tbl_pegawai,MATCH($C$8,tbl_nip,0),4),"")</f>
        <v>TASIKMALAYA/18-01-1991</v>
      </c>
      <c r="E19" s="1"/>
      <c r="F19" s="1"/>
      <c r="G19" s="1"/>
      <c r="H19" s="1"/>
      <c r="I19" s="1"/>
      <c r="J19" s="1"/>
    </row>
    <row r="20" spans="1:10" ht="19.5" customHeight="1" x14ac:dyDescent="0.3">
      <c r="A20" s="34"/>
      <c r="B20" s="29" t="s">
        <v>92</v>
      </c>
      <c r="C20" s="30" t="s">
        <v>42</v>
      </c>
      <c r="D20" s="1" t="str">
        <f>IFERROR(INDEX(tbl_pegawai,MATCH($C$8,tbl_nip,0),5),"")</f>
        <v>LAKI-LAKI</v>
      </c>
      <c r="E20" s="1"/>
      <c r="F20" s="1"/>
      <c r="G20" s="1"/>
      <c r="H20" s="1"/>
      <c r="I20" s="1"/>
      <c r="J20" s="1"/>
    </row>
    <row r="21" spans="1:10" ht="19.5" customHeight="1" x14ac:dyDescent="0.3">
      <c r="A21" s="34"/>
      <c r="B21" s="29" t="s">
        <v>93</v>
      </c>
      <c r="C21" s="30" t="s">
        <v>94</v>
      </c>
      <c r="D21" s="1" t="str">
        <f>IFERROR(INDEX(tbl_pegawai,MATCH($C$8,tbl_nip,0),6),"")</f>
        <v>PENATA MUDA TK.I/III/b/01-08-2024</v>
      </c>
      <c r="E21" s="1"/>
      <c r="F21" s="1"/>
      <c r="G21" s="1"/>
      <c r="H21" s="1"/>
      <c r="I21" s="1"/>
      <c r="J21" s="1"/>
    </row>
    <row r="22" spans="1:10" ht="19.5" customHeight="1" x14ac:dyDescent="0.3">
      <c r="A22" s="34"/>
      <c r="B22" s="29" t="s">
        <v>95</v>
      </c>
      <c r="C22" s="30" t="s">
        <v>44</v>
      </c>
      <c r="D22" s="1" t="str">
        <f>IFERROR(INDEX(tbl_pegawai,MATCH($C$8,tbl_nip,0),8),"")</f>
        <v>GURU AHLI PERTAMA/01-03-2019</v>
      </c>
      <c r="E22" s="1"/>
      <c r="F22" s="1"/>
      <c r="G22" s="1"/>
      <c r="H22" s="1"/>
      <c r="I22" s="1"/>
      <c r="J22" s="1"/>
    </row>
    <row r="23" spans="1:10" ht="54" customHeight="1" x14ac:dyDescent="0.3">
      <c r="A23" s="34"/>
      <c r="B23" s="29" t="s">
        <v>96</v>
      </c>
      <c r="C23" s="30" t="s">
        <v>45</v>
      </c>
      <c r="D23" s="1" t="str">
        <f>IFERROR(INDEX(tbl_pegawai,MATCH($C$8,tbl_nip,0),10),"")</f>
        <v>SMAN 1 CIGALONTANG KABUPATEN TASIKMALAYA SATUAN PENDIDIKAN KABUPATEN TASIKMALAYA CABANG PENDIDIKAN WILAYAH XII DINAS PENDIDIKAN</v>
      </c>
      <c r="E23" s="1"/>
      <c r="F23" s="1"/>
      <c r="G23" s="1"/>
      <c r="H23" s="1"/>
      <c r="I23" s="1"/>
      <c r="J23" s="1"/>
    </row>
    <row r="24" spans="1:10" ht="19.5" customHeight="1" x14ac:dyDescent="0.3">
      <c r="A24" s="34"/>
      <c r="B24" s="29" t="s">
        <v>97</v>
      </c>
      <c r="C24" s="30" t="s">
        <v>46</v>
      </c>
      <c r="D24" s="1" t="str">
        <f>IFERROR(INDEX(tbl_pegawai,MATCH($C$8,tbl_nip,0),11),"")</f>
        <v>PEMERINTAH PROVINSI JAWA BARAT</v>
      </c>
      <c r="E24" s="1"/>
      <c r="F24" s="1"/>
      <c r="G24" s="1"/>
      <c r="H24" s="1"/>
      <c r="I24" s="1"/>
      <c r="J24" s="1"/>
    </row>
    <row r="25" spans="1:10" ht="15" customHeight="1" x14ac:dyDescent="0.3">
      <c r="A25" s="13" t="s">
        <v>120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21.75" customHeight="1" x14ac:dyDescent="0.3">
      <c r="A26" s="31" t="s">
        <v>131</v>
      </c>
      <c r="B26" s="37" t="s">
        <v>128</v>
      </c>
      <c r="C26" s="37"/>
      <c r="D26" s="31" t="s">
        <v>132</v>
      </c>
      <c r="E26" s="31" t="s">
        <v>133</v>
      </c>
      <c r="F26" s="37" t="s">
        <v>134</v>
      </c>
      <c r="G26" s="37"/>
      <c r="H26" s="37" t="s">
        <v>135</v>
      </c>
      <c r="I26" s="37"/>
      <c r="J26" s="37"/>
    </row>
    <row r="27" spans="1:10" ht="15.75" customHeight="1" x14ac:dyDescent="0.3">
      <c r="A27" s="31" t="s">
        <v>86</v>
      </c>
      <c r="B27" s="37" t="s">
        <v>88</v>
      </c>
      <c r="C27" s="37"/>
      <c r="D27" s="31" t="s">
        <v>89</v>
      </c>
      <c r="E27" s="31" t="s">
        <v>90</v>
      </c>
      <c r="F27" s="37" t="s">
        <v>92</v>
      </c>
      <c r="G27" s="37"/>
      <c r="H27" s="37" t="s">
        <v>93</v>
      </c>
      <c r="I27" s="37"/>
      <c r="J27" s="37"/>
    </row>
    <row r="28" spans="1:10" ht="21.75" customHeight="1" x14ac:dyDescent="0.3">
      <c r="A28" s="20" t="s">
        <v>86</v>
      </c>
      <c r="B28" s="46" t="s">
        <v>136</v>
      </c>
      <c r="C28" s="46"/>
      <c r="D28" s="36">
        <f>IFERROR(INDEX(tbl_pegawai,MATCH($C$8,tbl_nip,0),12),"")</f>
        <v>50</v>
      </c>
      <c r="E28" s="36" t="s">
        <v>9</v>
      </c>
      <c r="F28" s="47">
        <f t="shared" ref="F28:F33" si="0">IFERROR(IF(AND(ISNUMBER(D28),ISNUMBER(E28)),D28+E28,IF(ISNUMBER(D28),D28,IF(ISNUMBER(E28),E28,"-"))),"-")</f>
        <v>50</v>
      </c>
      <c r="G28" s="47"/>
      <c r="H28" s="38" t="s">
        <v>9</v>
      </c>
      <c r="I28" s="38"/>
      <c r="J28" s="38"/>
    </row>
    <row r="29" spans="1:10" ht="21.75" customHeight="1" x14ac:dyDescent="0.3">
      <c r="A29" s="20" t="s">
        <v>88</v>
      </c>
      <c r="B29" s="46" t="s">
        <v>48</v>
      </c>
      <c r="C29" s="46"/>
      <c r="D29" s="36">
        <f>IFERROR(INDEX(tbl_pegawai,MATCH($C$8,tbl_nip,0),13),"")</f>
        <v>0</v>
      </c>
      <c r="E29" s="36" t="s">
        <v>9</v>
      </c>
      <c r="F29" s="47">
        <f t="shared" si="0"/>
        <v>0</v>
      </c>
      <c r="G29" s="47"/>
      <c r="H29" s="38" t="s">
        <v>9</v>
      </c>
      <c r="I29" s="38"/>
      <c r="J29" s="38"/>
    </row>
    <row r="30" spans="1:10" ht="21.75" customHeight="1" x14ac:dyDescent="0.3">
      <c r="A30" s="20" t="s">
        <v>89</v>
      </c>
      <c r="B30" s="46" t="s">
        <v>137</v>
      </c>
      <c r="C30" s="46"/>
      <c r="D30" s="36">
        <f>IFERROR(INDEX(tbl_pegawai,MATCH($C$8,tbl_nip,0),14),"")</f>
        <v>0</v>
      </c>
      <c r="E30" s="36" t="s">
        <v>9</v>
      </c>
      <c r="F30" s="47">
        <f t="shared" si="0"/>
        <v>0</v>
      </c>
      <c r="G30" s="47"/>
      <c r="H30" s="38" t="s">
        <v>9</v>
      </c>
      <c r="I30" s="38"/>
      <c r="J30" s="38"/>
    </row>
    <row r="31" spans="1:10" ht="21.75" customHeight="1" x14ac:dyDescent="0.3">
      <c r="A31" s="20" t="s">
        <v>90</v>
      </c>
      <c r="B31" s="46" t="s">
        <v>138</v>
      </c>
      <c r="C31" s="46"/>
      <c r="D31" s="36" t="s">
        <v>9</v>
      </c>
      <c r="E31" s="36">
        <f>ak_baru</f>
        <v>46.875</v>
      </c>
      <c r="F31" s="47">
        <f t="shared" si="0"/>
        <v>46.875</v>
      </c>
      <c r="G31" s="47"/>
      <c r="H31" s="38" t="s">
        <v>9</v>
      </c>
      <c r="I31" s="38"/>
      <c r="J31" s="38"/>
    </row>
    <row r="32" spans="1:10" ht="21.75" customHeight="1" x14ac:dyDescent="0.3">
      <c r="A32" s="20" t="s">
        <v>92</v>
      </c>
      <c r="B32" s="46" t="s">
        <v>139</v>
      </c>
      <c r="C32" s="46"/>
      <c r="D32" s="36" t="s">
        <v>9</v>
      </c>
      <c r="E32" s="36" t="s">
        <v>9</v>
      </c>
      <c r="F32" s="47" t="str">
        <f t="shared" si="0"/>
        <v>-</v>
      </c>
      <c r="G32" s="47"/>
      <c r="H32" s="38" t="s">
        <v>9</v>
      </c>
      <c r="I32" s="38"/>
      <c r="J32" s="38"/>
    </row>
    <row r="33" spans="1:10" ht="21.75" customHeight="1" x14ac:dyDescent="0.3">
      <c r="A33" s="20" t="s">
        <v>93</v>
      </c>
      <c r="B33" s="46" t="s">
        <v>140</v>
      </c>
      <c r="C33" s="46"/>
      <c r="D33" s="36" t="s">
        <v>9</v>
      </c>
      <c r="E33" s="36" t="s">
        <v>9</v>
      </c>
      <c r="F33" s="47" t="str">
        <f t="shared" si="0"/>
        <v>-</v>
      </c>
      <c r="G33" s="47"/>
      <c r="H33" s="38" t="s">
        <v>9</v>
      </c>
      <c r="I33" s="38"/>
      <c r="J33" s="38"/>
    </row>
    <row r="34" spans="1:10" ht="21.75" customHeight="1" x14ac:dyDescent="0.3">
      <c r="A34" s="44" t="s">
        <v>141</v>
      </c>
      <c r="B34" s="44"/>
      <c r="C34" s="44"/>
      <c r="D34" s="35">
        <f>SUMPRODUCT(--ISNUMBER(D28:D33),D28:D33)</f>
        <v>50</v>
      </c>
      <c r="E34" s="35">
        <f>SUMPRODUCT(--ISNUMBER(E28:E33),E28:E33)</f>
        <v>46.875</v>
      </c>
      <c r="F34" s="45">
        <f>D34+E34</f>
        <v>96.875</v>
      </c>
      <c r="G34" s="45"/>
      <c r="H34" s="48"/>
      <c r="I34" s="48"/>
      <c r="J34" s="48"/>
    </row>
    <row r="35" spans="1:10" ht="21.75" customHeight="1" x14ac:dyDescent="0.3">
      <c r="A35" s="13" t="s">
        <v>135</v>
      </c>
      <c r="B35" s="13"/>
      <c r="C35" s="13"/>
      <c r="D35" s="13" t="s">
        <v>142</v>
      </c>
      <c r="E35" s="13"/>
      <c r="F35" s="13" t="s">
        <v>11</v>
      </c>
      <c r="G35" s="13"/>
      <c r="H35" s="13"/>
      <c r="I35" s="13"/>
      <c r="J35" s="13"/>
    </row>
    <row r="36" spans="1:10" ht="41" customHeight="1" x14ac:dyDescent="0.3">
      <c r="A36" s="46" t="s">
        <v>143</v>
      </c>
      <c r="B36" s="46"/>
      <c r="C36" s="46"/>
      <c r="D36" s="45">
        <f>IFERROR(VLOOKUP(IFERROR(INDEX(tbl_pegawai,MATCH($C$8,tbl_nip,0),7),""),tbl_ak_kp,3,FALSE()),"-")</f>
        <v>50</v>
      </c>
      <c r="E36" s="45"/>
      <c r="F36" s="45">
        <f>IFERROR(VLOOKUP(IFERROR(INDEX(tbl_pegawai,MATCH($C$8,tbl_nip,0),9),""),tbl_ak_jenjang,2,FALSE()),"-")</f>
        <v>100</v>
      </c>
      <c r="G36" s="45"/>
      <c r="H36" s="45"/>
      <c r="I36" s="45"/>
      <c r="J36" s="45"/>
    </row>
    <row r="37" spans="1:10" ht="45.5" customHeight="1" x14ac:dyDescent="0.3">
      <c r="A37" s="46" t="s">
        <v>144</v>
      </c>
      <c r="B37" s="46"/>
      <c r="C37" s="46"/>
      <c r="D37" s="45">
        <f>IFERROR(MAX(D36-F34,0),"-")</f>
        <v>0</v>
      </c>
      <c r="E37" s="45"/>
      <c r="F37" s="45">
        <f>IFERROR(MAX(F36-F34,0),"-")</f>
        <v>3.125</v>
      </c>
      <c r="G37" s="45"/>
      <c r="H37" s="45"/>
      <c r="I37" s="45"/>
      <c r="J37" s="45"/>
    </row>
    <row r="38" spans="1:10" ht="49.5" customHeight="1" x14ac:dyDescent="0.3">
      <c r="A38" s="46" t="s">
        <v>145</v>
      </c>
      <c r="B38" s="46"/>
      <c r="C38" s="46"/>
      <c r="D38" s="45"/>
      <c r="E38" s="45"/>
      <c r="F38" s="45"/>
      <c r="G38" s="45"/>
      <c r="H38" s="45"/>
      <c r="I38" s="45"/>
      <c r="J38" s="45"/>
    </row>
    <row r="39" spans="1:10" ht="75" customHeight="1" x14ac:dyDescent="0.3">
      <c r="A39" s="49" t="str">
        <f>IF(F34&gt;=D36,"DAPAT DIPERTIMBANGKAN UNTUK KENAIKAN PANGKAT","TIDAK DAPAT DIPERTIMBANGKAN UNTUK KENAIKAN PANGKAT SETINGKAT LEBIH TINGGI")</f>
        <v>DAPAT DIPERTIMBANGKAN UNTUK KENAIKAN PANGKAT</v>
      </c>
      <c r="B39" s="49"/>
      <c r="C39" s="49"/>
      <c r="D39" s="49"/>
      <c r="E39" s="49"/>
      <c r="F39" s="49"/>
      <c r="G39" s="49"/>
      <c r="H39" s="49"/>
      <c r="I39" s="49"/>
      <c r="J39" s="49"/>
    </row>
    <row r="41" spans="1:10" ht="169" x14ac:dyDescent="0.3">
      <c r="A41" s="33" t="s">
        <v>146</v>
      </c>
      <c r="H41" s="32" t="s">
        <v>127</v>
      </c>
    </row>
    <row r="42" spans="1:10" ht="156" x14ac:dyDescent="0.3">
      <c r="A42" s="32" t="str">
        <f>IFERROR(INDEX(tbl_pegawai,MATCH($C$8,tbl_nip,0),2),"")</f>
        <v>ABDUL HADI HASANUDDIN, S.Pd.</v>
      </c>
      <c r="H42" s="32" t="s">
        <v>103</v>
      </c>
    </row>
    <row r="44" spans="1:10" ht="23.9" customHeight="1" x14ac:dyDescent="0.3">
      <c r="A44" s="4" t="s">
        <v>101</v>
      </c>
      <c r="B44" s="4"/>
      <c r="C44" s="4"/>
      <c r="D44" s="4"/>
      <c r="E44" s="4"/>
      <c r="F44" s="4"/>
      <c r="H44" s="32" t="s">
        <v>106</v>
      </c>
    </row>
    <row r="45" spans="1:10" ht="57.5" customHeight="1" x14ac:dyDescent="0.3">
      <c r="A45" s="4" t="s">
        <v>102</v>
      </c>
      <c r="B45" s="4"/>
      <c r="C45" s="4"/>
      <c r="D45" s="4"/>
      <c r="E45" s="4"/>
      <c r="F45" s="4"/>
      <c r="H45" s="32" t="s">
        <v>108</v>
      </c>
    </row>
    <row r="46" spans="1:10" ht="35" customHeight="1" x14ac:dyDescent="0.3">
      <c r="A46" s="4" t="s">
        <v>104</v>
      </c>
      <c r="B46" s="4"/>
      <c r="C46" s="4"/>
      <c r="D46" s="4"/>
      <c r="E46" s="4"/>
      <c r="F46" s="4"/>
      <c r="H46" s="32" t="s">
        <v>109</v>
      </c>
    </row>
    <row r="47" spans="1:10" ht="15" customHeight="1" x14ac:dyDescent="0.3">
      <c r="A47" s="4" t="s">
        <v>105</v>
      </c>
      <c r="B47" s="4"/>
      <c r="C47" s="4"/>
      <c r="D47" s="4"/>
      <c r="E47" s="4"/>
      <c r="F47" s="4"/>
    </row>
    <row r="48" spans="1:10" ht="15" customHeight="1" x14ac:dyDescent="0.3">
      <c r="A48" s="4" t="s">
        <v>107</v>
      </c>
      <c r="B48" s="4"/>
      <c r="C48" s="4"/>
      <c r="D48" s="4"/>
      <c r="E48" s="4"/>
      <c r="F48" s="4"/>
    </row>
    <row r="49" spans="1:10" ht="15" customHeight="1" x14ac:dyDescent="0.3">
      <c r="A49" s="4" t="s">
        <v>147</v>
      </c>
      <c r="B49" s="4"/>
      <c r="C49" s="4"/>
      <c r="D49" s="4"/>
      <c r="E49" s="4"/>
      <c r="F49" s="4"/>
    </row>
    <row r="50" spans="1:10" ht="39" x14ac:dyDescent="0.3">
      <c r="H50" s="33" t="str">
        <f>IFERROR(INDEX(tbl_pegawai,MATCH($C$8,tbl_nip,0),28),"")</f>
        <v>Drs. ASEP SAEPUDIN, M.S.I</v>
      </c>
    </row>
    <row r="51" spans="1:10" x14ac:dyDescent="0.3">
      <c r="H51" s="32" t="s">
        <v>110</v>
      </c>
    </row>
    <row r="53" spans="1:10" ht="15" customHeight="1" x14ac:dyDescent="0.3">
      <c r="A53" s="41" t="s">
        <v>111</v>
      </c>
      <c r="B53" s="41"/>
      <c r="C53" s="41"/>
      <c r="D53" s="41"/>
      <c r="E53" s="41"/>
      <c r="F53" s="41"/>
      <c r="G53" s="41"/>
      <c r="H53" s="41"/>
      <c r="I53" s="41"/>
      <c r="J53" s="41"/>
    </row>
    <row r="54" spans="1:10" ht="15" customHeight="1" x14ac:dyDescent="0.3">
      <c r="A54" s="41" t="s">
        <v>112</v>
      </c>
      <c r="B54" s="41"/>
      <c r="C54" s="41"/>
      <c r="D54" s="41"/>
      <c r="E54" s="41"/>
      <c r="F54" s="41"/>
      <c r="G54" s="41"/>
      <c r="H54" s="41"/>
      <c r="I54" s="41"/>
      <c r="J54" s="41"/>
    </row>
    <row r="55" spans="1:10" ht="15" customHeight="1" x14ac:dyDescent="0.3">
      <c r="A55" s="41" t="s">
        <v>113</v>
      </c>
      <c r="B55" s="41"/>
      <c r="C55" s="41"/>
      <c r="D55" s="41"/>
      <c r="E55" s="41"/>
      <c r="F55" s="41"/>
      <c r="G55" s="41"/>
      <c r="H55" s="41"/>
      <c r="I55" s="41"/>
      <c r="J55" s="41"/>
    </row>
    <row r="56" spans="1:10" ht="15" customHeight="1" x14ac:dyDescent="0.3">
      <c r="A56" s="42" t="s">
        <v>114</v>
      </c>
      <c r="B56" s="42"/>
      <c r="C56" s="42"/>
      <c r="D56" s="42"/>
      <c r="E56" s="42"/>
      <c r="F56" s="42"/>
      <c r="G56" s="42"/>
      <c r="H56" s="42"/>
      <c r="I56" s="42"/>
      <c r="J56" s="42"/>
    </row>
    <row r="57" spans="1:10" ht="15" customHeight="1" x14ac:dyDescent="0.3">
      <c r="A57" s="41" t="s">
        <v>115</v>
      </c>
      <c r="B57" s="41"/>
      <c r="C57" s="41"/>
      <c r="D57" s="41"/>
      <c r="E57" s="41"/>
      <c r="F57" s="41"/>
      <c r="G57" s="41"/>
      <c r="H57" s="41"/>
      <c r="I57" s="41"/>
      <c r="J57" s="41"/>
    </row>
  </sheetData>
  <mergeCells count="72">
    <mergeCell ref="A57:J57"/>
    <mergeCell ref="A49:F49"/>
    <mergeCell ref="A53:J53"/>
    <mergeCell ref="A54:J54"/>
    <mergeCell ref="A55:J55"/>
    <mergeCell ref="A56:J56"/>
    <mergeCell ref="A44:F44"/>
    <mergeCell ref="A45:F45"/>
    <mergeCell ref="A46:F46"/>
    <mergeCell ref="A47:F47"/>
    <mergeCell ref="A48:F48"/>
    <mergeCell ref="A37:C37"/>
    <mergeCell ref="D37:E38"/>
    <mergeCell ref="F37:J38"/>
    <mergeCell ref="A38:C38"/>
    <mergeCell ref="A39:J39"/>
    <mergeCell ref="A35:C35"/>
    <mergeCell ref="D35:E35"/>
    <mergeCell ref="F35:J35"/>
    <mergeCell ref="A36:C36"/>
    <mergeCell ref="D36:E36"/>
    <mergeCell ref="F36:J36"/>
    <mergeCell ref="B33:C33"/>
    <mergeCell ref="F33:G33"/>
    <mergeCell ref="H33:J33"/>
    <mergeCell ref="A34:C34"/>
    <mergeCell ref="F34:G34"/>
    <mergeCell ref="H34:J34"/>
    <mergeCell ref="B31:C31"/>
    <mergeCell ref="F31:G31"/>
    <mergeCell ref="H31:J31"/>
    <mergeCell ref="B32:C32"/>
    <mergeCell ref="F32:G32"/>
    <mergeCell ref="H32:J32"/>
    <mergeCell ref="B29:C29"/>
    <mergeCell ref="F29:G29"/>
    <mergeCell ref="H29:J29"/>
    <mergeCell ref="B30:C30"/>
    <mergeCell ref="F30:G30"/>
    <mergeCell ref="H30:J30"/>
    <mergeCell ref="B27:C27"/>
    <mergeCell ref="F27:G27"/>
    <mergeCell ref="H27:J27"/>
    <mergeCell ref="B28:C28"/>
    <mergeCell ref="F28:G28"/>
    <mergeCell ref="H28:J28"/>
    <mergeCell ref="D23:J23"/>
    <mergeCell ref="D24:J24"/>
    <mergeCell ref="A25:J25"/>
    <mergeCell ref="B26:C26"/>
    <mergeCell ref="F26:G26"/>
    <mergeCell ref="H26:J26"/>
    <mergeCell ref="D18:J18"/>
    <mergeCell ref="D19:J19"/>
    <mergeCell ref="D20:J20"/>
    <mergeCell ref="D21:J21"/>
    <mergeCell ref="D22:J22"/>
    <mergeCell ref="A13:E13"/>
    <mergeCell ref="F13:J13"/>
    <mergeCell ref="B15:J15"/>
    <mergeCell ref="D16:J16"/>
    <mergeCell ref="D17:J17"/>
    <mergeCell ref="A6:J6"/>
    <mergeCell ref="A8:B8"/>
    <mergeCell ref="C8:F8"/>
    <mergeCell ref="A10:J10"/>
    <mergeCell ref="A11:J11"/>
    <mergeCell ref="A1:J1"/>
    <mergeCell ref="A2:J2"/>
    <mergeCell ref="A3:J3"/>
    <mergeCell ref="A4:J4"/>
    <mergeCell ref="A5:J5"/>
  </mergeCells>
  <dataValidations count="1">
    <dataValidation type="list" sqref="C8" xr:uid="{00000000-0002-0000-0400-000000000000}">
      <formula1>tbl_nip</formula1>
      <formula2>0</formula2>
    </dataValidation>
  </dataValidations>
  <printOptions horizontalCentered="1"/>
  <pageMargins left="0.59027777777777801" right="0.59027777777777801" top="0.59027777777777801" bottom="0.59027777777777801" header="0.511811023622047" footer="0.511811023622047"/>
  <pageSetup paperSize="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DATA MASTER</vt:lpstr>
      <vt:lpstr>DATA PEGAWAI</vt:lpstr>
      <vt:lpstr>KONVERSI PREDIKAT KINERJA</vt:lpstr>
      <vt:lpstr>AKUMULASI ANGKA KREDIT</vt:lpstr>
      <vt:lpstr>PENETAPAN ANGKA KREDIT</vt:lpstr>
      <vt:lpstr>ak_baru</vt:lpstr>
      <vt:lpstr>ak_konversi_periode</vt:lpstr>
      <vt:lpstr>tbl_ak_dasar</vt:lpstr>
      <vt:lpstr>tbl_ak_jenjang</vt:lpstr>
      <vt:lpstr>tbl_ak_kp</vt:lpstr>
      <vt:lpstr>tbl_jenjang</vt:lpstr>
      <vt:lpstr>tbl_jenjang_nama</vt:lpstr>
      <vt:lpstr>tbl_nip</vt:lpstr>
      <vt:lpstr>tbl_pegawai</vt:lpstr>
      <vt:lpstr>tbl_predikat</vt:lpstr>
      <vt:lpstr>tbl_predikat_nama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dc:subject/>
  <dc:creator>openpyxl</dc:creator>
  <dc:description/>
  <cp:lastModifiedBy>Hadi hasanuddin</cp:lastModifiedBy>
  <cp:revision>0</cp:revision>
  <dcterms:created xsi:type="dcterms:W3CDTF">2026-04-20T03:58:42Z</dcterms:created>
  <dcterms:modified xsi:type="dcterms:W3CDTF">2026-04-21T08:56:47Z</dcterms:modified>
  <dc:language>en-US</dc:language>
</cp:coreProperties>
</file>