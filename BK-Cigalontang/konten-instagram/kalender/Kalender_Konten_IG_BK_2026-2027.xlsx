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lender Konten" sheetId="1" state="visible" r:id="rId1"/>
    <sheet xmlns:r="http://schemas.openxmlformats.org/officeDocument/2006/relationships" name="Tema Mingguan" sheetId="2" state="visible" r:id="rId2"/>
    <sheet xmlns:r="http://schemas.openxmlformats.org/officeDocument/2006/relationships" name="Rekap" sheetId="3" state="visible" r:id="rId3"/>
    <sheet xmlns:r="http://schemas.openxmlformats.org/officeDocument/2006/relationships" name="Panduan" sheetId="4" state="visible" r:id="rId4"/>
  </sheets>
  <definedNames>
    <definedName name="_xlnm._FilterDatabase" localSheetId="0" hidden="1">'Kalender Konten'!$A$4:$P$112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7">
    <font>
      <name val="Calibri"/>
      <family val="2"/>
      <color theme="1"/>
      <sz val="11"/>
      <scheme val="minor"/>
    </font>
    <font>
      <name val="Calibri"/>
      <b val="1"/>
      <color rgb="001B4F72"/>
      <sz val="14"/>
    </font>
    <font>
      <name val="Calibri"/>
      <i val="1"/>
      <sz val="10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b val="1"/>
      <color rgb="001B4F72"/>
      <sz val="11"/>
    </font>
  </fonts>
  <fills count="8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FDF2E9"/>
      </patternFill>
    </fill>
    <fill>
      <patternFill patternType="solid">
        <fgColor rgb="00D5F5E3"/>
      </patternFill>
    </fill>
    <fill>
      <patternFill patternType="solid">
        <fgColor rgb="00E8DAEF"/>
      </patternFill>
    </fill>
    <fill>
      <patternFill patternType="solid">
        <fgColor rgb="00D6EAF8"/>
      </patternFill>
    </fill>
    <fill>
      <patternFill patternType="solid">
        <fgColor rgb="00FCF3CF"/>
      </patternFill>
    </fill>
  </fills>
  <borders count="2">
    <border>
      <left/>
      <right/>
      <top/>
      <bottom/>
      <diagonal/>
    </border>
    <border>
      <left style="thin">
        <color rgb="009E9E9E"/>
      </left>
      <right style="thin">
        <color rgb="009E9E9E"/>
      </right>
      <top style="thin">
        <color rgb="009E9E9E"/>
      </top>
      <bottom style="thin">
        <color rgb="009E9E9E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vertical="top" wrapText="1"/>
    </xf>
    <xf numFmtId="165" fontId="4" fillId="3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165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0" fontId="5" fillId="0" borderId="1" pivotButton="0" quotePrefix="0" xfId="0"/>
    <xf numFmtId="0" fontId="0" fillId="0" borderId="1" pivotButton="0" quotePrefix="0" xfId="0"/>
    <xf numFmtId="0" fontId="5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112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14" customWidth="1" min="3" max="3"/>
    <col width="13" customWidth="1" min="4" max="4"/>
    <col width="8" customWidth="1" min="5" max="5"/>
    <col width="16" customWidth="1" min="6" max="6"/>
    <col width="22" customWidth="1" min="7" max="7"/>
    <col width="28" customWidth="1" min="8" max="8"/>
    <col width="10" customWidth="1" min="9" max="9"/>
    <col width="12" customWidth="1" min="10" max="10"/>
    <col width="34" customWidth="1" min="11" max="11"/>
    <col width="60" customWidth="1" min="12" max="12"/>
    <col width="28" customWidth="1" min="13" max="13"/>
    <col width="22" customWidth="1" min="14" max="14"/>
    <col width="12" customWidth="1" min="15" max="15"/>
    <col width="18" customWidth="1" min="16" max="16"/>
  </cols>
  <sheetData>
    <row r="1">
      <c r="A1" s="1" t="inlineStr">
        <is>
          <t>KALENDER KONTEN INSTAGRAM BK — SMA Negeri 1 Cigalontang — TA 2026/2027</t>
        </is>
      </c>
    </row>
    <row r="2">
      <c r="A2" s="2" t="inlineStr">
        <is>
          <t>Jadwal unggah: Senin (#SeninStarter), Rabu (#RabuRuangAman), Jumat (#JumatNgobrolBK). Baris berwarna krem = Sisa Semester 1 (bonus).</t>
        </is>
      </c>
    </row>
    <row r="4">
      <c r="A4" s="3" t="inlineStr">
        <is>
          <t>No</t>
        </is>
      </c>
      <c r="B4" s="3" t="inlineStr">
        <is>
          <t>Minggu</t>
        </is>
      </c>
      <c r="C4" s="3" t="inlineStr">
        <is>
          <t>Semester</t>
        </is>
      </c>
      <c r="D4" s="3" t="inlineStr">
        <is>
          <t>Tanggal</t>
        </is>
      </c>
      <c r="E4" s="3" t="inlineStr">
        <is>
          <t>Hari</t>
        </is>
      </c>
      <c r="F4" s="3" t="inlineStr">
        <is>
          <t>Rubrik</t>
        </is>
      </c>
      <c r="G4" s="3" t="inlineStr">
        <is>
          <t>Tema Mingguan</t>
        </is>
      </c>
      <c r="H4" s="3" t="inlineStr">
        <is>
          <t>Momen Kalender</t>
        </is>
      </c>
      <c r="I4" s="3" t="inlineStr">
        <is>
          <t>Bidang</t>
        </is>
      </c>
      <c r="J4" s="3" t="inlineStr">
        <is>
          <t>Format</t>
        </is>
      </c>
      <c r="K4" s="3" t="inlineStr">
        <is>
          <t>Judul / Hook</t>
        </is>
      </c>
      <c r="L4" s="3" t="inlineStr">
        <is>
          <t>Isi Konten (Poin Slide/Adegan)</t>
        </is>
      </c>
      <c r="M4" s="3" t="inlineStr">
        <is>
          <t>CTA / Interaksi</t>
        </is>
      </c>
      <c r="N4" s="3" t="inlineStr">
        <is>
          <t>Kolaborasi</t>
        </is>
      </c>
      <c r="O4" s="3" t="inlineStr">
        <is>
          <t>Status</t>
        </is>
      </c>
      <c r="P4" s="3" t="inlineStr">
        <is>
          <t>Link Postingan</t>
        </is>
      </c>
    </row>
    <row r="5">
      <c r="A5" s="4" t="n">
        <v>1</v>
      </c>
      <c r="B5" s="4" t="n">
        <v>1</v>
      </c>
      <c r="C5" s="5" t="inlineStr">
        <is>
          <t>Sisa Semester 1 (Bonus)</t>
        </is>
      </c>
      <c r="D5" s="6" t="n">
        <v>46314</v>
      </c>
      <c r="E5" s="4" t="inlineStr">
        <is>
          <t>Senin</t>
        </is>
      </c>
      <c r="F5" s="5" t="inlineStr">
        <is>
          <t>#SeninStarter</t>
        </is>
      </c>
      <c r="G5" s="5" t="inlineStr">
        <is>
          <t>Siap TKA, Siap Mental</t>
        </is>
      </c>
      <c r="H5" s="5" t="inlineStr">
        <is>
          <t>Menjelang Prakiraan TKA (26–30 Okt); Bulan Kesehatan Mental</t>
        </is>
      </c>
      <c r="I5" s="7" t="inlineStr">
        <is>
          <t>Belajar</t>
        </is>
      </c>
      <c r="J5" s="4" t="inlineStr">
        <is>
          <t>Carousel</t>
        </is>
      </c>
      <c r="K5" s="8" t="inlineStr">
        <is>
          <t>TKA Itu Apa Sih? 5 Hal yang Wajib Kamu Tahu</t>
        </is>
      </c>
      <c r="L5" s="5" t="inlineStr">
        <is>
          <t>Apa itu TKA &amp; tujuannya • Siapa pesertanya • Mapel wajib &amp; pilihan • Manfaat hasil TKA untuk seleksi lanjut • Cara latihan yang efektif</t>
        </is>
      </c>
      <c r="M5" s="5" t="inlineStr">
        <is>
          <t>Komen mapel pilihanmu &amp; tag teman satu ruang ujian</t>
        </is>
      </c>
      <c r="N5" s="5" t="inlineStr">
        <is>
          <t>Wakasek Kurikulum / Proktor TKA</t>
        </is>
      </c>
      <c r="O5" s="4" t="inlineStr">
        <is>
          <t>Ide</t>
        </is>
      </c>
      <c r="P5" s="5" t="inlineStr"/>
    </row>
    <row r="6">
      <c r="A6" s="4" t="n">
        <v>2</v>
      </c>
      <c r="B6" s="4" t="n">
        <v>1</v>
      </c>
      <c r="C6" s="5" t="inlineStr">
        <is>
          <t>Sisa Semester 1 (Bonus)</t>
        </is>
      </c>
      <c r="D6" s="6" t="n">
        <v>46316</v>
      </c>
      <c r="E6" s="4" t="inlineStr">
        <is>
          <t>Rabu</t>
        </is>
      </c>
      <c r="F6" s="5" t="inlineStr">
        <is>
          <t>#RabuRuangAman</t>
        </is>
      </c>
      <c r="G6" s="5" t="inlineStr">
        <is>
          <t>Siap TKA, Siap Mental</t>
        </is>
      </c>
      <c r="H6" s="5" t="inlineStr">
        <is>
          <t>Menjelang Prakiraan TKA (26–30 Okt); Bulan Kesehatan Mental</t>
        </is>
      </c>
      <c r="I6" s="9" t="inlineStr">
        <is>
          <t>Pribadi</t>
        </is>
      </c>
      <c r="J6" s="4" t="inlineStr">
        <is>
          <t>Reels</t>
        </is>
      </c>
      <c r="K6" s="8" t="inlineStr">
        <is>
          <t>POV: H-7 TKA tapi Otak Nge-freeze</t>
        </is>
      </c>
      <c r="L6" s="5" t="inlineStr">
        <is>
          <t>Skit singkat siswa panik → teman ajak teknik grounding 5-4-3-2-1 • Napas kotak 4-4-4-4 • Pesan: cemas itu wajar, bisa dikelola</t>
        </is>
      </c>
      <c r="M6" s="5" t="inlineStr">
        <is>
          <t>Save &amp; praktikkan sebelum tidur</t>
        </is>
      </c>
      <c r="N6" s="5" t="inlineStr">
        <is>
          <t>Siswa talent (dengan izin tertulis)</t>
        </is>
      </c>
      <c r="O6" s="4" t="inlineStr">
        <is>
          <t>Ide</t>
        </is>
      </c>
      <c r="P6" s="5" t="inlineStr"/>
    </row>
    <row r="7">
      <c r="A7" s="4" t="n">
        <v>3</v>
      </c>
      <c r="B7" s="4" t="n">
        <v>1</v>
      </c>
      <c r="C7" s="5" t="inlineStr">
        <is>
          <t>Sisa Semester 1 (Bonus)</t>
        </is>
      </c>
      <c r="D7" s="6" t="n">
        <v>46318</v>
      </c>
      <c r="E7" s="4" t="inlineStr">
        <is>
          <t>Jumat</t>
        </is>
      </c>
      <c r="F7" s="5" t="inlineStr">
        <is>
          <t>#JumatNgobrolBK</t>
        </is>
      </c>
      <c r="G7" s="5" t="inlineStr">
        <is>
          <t>Siap TKA, Siap Mental</t>
        </is>
      </c>
      <c r="H7" s="5" t="inlineStr">
        <is>
          <t>Menjelang Prakiraan TKA (26–30 Okt); Bulan Kesehatan Mental</t>
        </is>
      </c>
      <c r="I7" s="7" t="inlineStr">
        <is>
          <t>Belajar</t>
        </is>
      </c>
      <c r="J7" s="4" t="inlineStr">
        <is>
          <t>Single Image</t>
        </is>
      </c>
      <c r="K7" s="8" t="inlineStr">
        <is>
          <t>Checklist H-1 TKA</t>
        </is>
      </c>
      <c r="L7" s="5" t="inlineStr">
        <is>
          <t>Kartu peserta &amp; alat tulis • Tidur 7–8 jam • Sarapan • Cek ruang &amp; jadwal • Datang 30 menit lebih awal • Doa &amp; niat jujur</t>
        </is>
      </c>
      <c r="M7" s="5" t="inlineStr">
        <is>
          <t>Save, lalu share ke grup kelas</t>
        </is>
      </c>
      <c r="N7" s="5" t="inlineStr">
        <is>
          <t>-</t>
        </is>
      </c>
      <c r="O7" s="4" t="inlineStr">
        <is>
          <t>Ide</t>
        </is>
      </c>
      <c r="P7" s="5" t="inlineStr"/>
    </row>
    <row r="8">
      <c r="A8" s="4" t="n">
        <v>4</v>
      </c>
      <c r="B8" s="4" t="n">
        <v>2</v>
      </c>
      <c r="C8" s="5" t="inlineStr">
        <is>
          <t>Sisa Semester 1 (Bonus)</t>
        </is>
      </c>
      <c r="D8" s="6" t="n">
        <v>46321</v>
      </c>
      <c r="E8" s="4" t="inlineStr">
        <is>
          <t>Senin</t>
        </is>
      </c>
      <c r="F8" s="5" t="inlineStr">
        <is>
          <t>#SeninStarter</t>
        </is>
      </c>
      <c r="G8" s="5" t="inlineStr">
        <is>
          <t>Pemuda Tangguh, Ujian Tenang</t>
        </is>
      </c>
      <c r="H8" s="5" t="inlineStr">
        <is>
          <t>Prakiraan TKA (26–30 Okt); Sumpah Pemuda (28 Okt)</t>
        </is>
      </c>
      <c r="I8" s="9" t="inlineStr">
        <is>
          <t>Pribadi</t>
        </is>
      </c>
      <c r="J8" s="4" t="inlineStr">
        <is>
          <t>Single Image</t>
        </is>
      </c>
      <c r="K8" s="8" t="inlineStr">
        <is>
          <t>Kamu Sudah Berusaha. Hasil Bukan Satu-satunya Ukuran Dirimu.</t>
        </is>
      </c>
      <c r="L8" s="5" t="inlineStr">
        <is>
          <t>Quote penyemangat hari pertama TKA • Visual hangat warna sekolah • Pengingat: BK siap jadi tempat cerita</t>
        </is>
      </c>
      <c r="M8" s="5" t="inlineStr">
        <is>
          <t>Kirim semangat untuk temanmu di kolom komentar</t>
        </is>
      </c>
      <c r="N8" s="5" t="inlineStr">
        <is>
          <t>-</t>
        </is>
      </c>
      <c r="O8" s="4" t="inlineStr">
        <is>
          <t>Ide</t>
        </is>
      </c>
      <c r="P8" s="5" t="inlineStr"/>
    </row>
    <row r="9">
      <c r="A9" s="4" t="n">
        <v>5</v>
      </c>
      <c r="B9" s="4" t="n">
        <v>2</v>
      </c>
      <c r="C9" s="5" t="inlineStr">
        <is>
          <t>Sisa Semester 1 (Bonus)</t>
        </is>
      </c>
      <c r="D9" s="6" t="n">
        <v>46323</v>
      </c>
      <c r="E9" s="4" t="inlineStr">
        <is>
          <t>Rabu</t>
        </is>
      </c>
      <c r="F9" s="5" t="inlineStr">
        <is>
          <t>#RabuRuangAman</t>
        </is>
      </c>
      <c r="G9" s="5" t="inlineStr">
        <is>
          <t>Pemuda Tangguh, Ujian Tenang</t>
        </is>
      </c>
      <c r="H9" s="5" t="inlineStr">
        <is>
          <t>Prakiraan TKA (26–30 Okt); Sumpah Pemuda (28 Okt)</t>
        </is>
      </c>
      <c r="I9" s="10" t="inlineStr">
        <is>
          <t>Sosial</t>
        </is>
      </c>
      <c r="J9" s="4" t="inlineStr">
        <is>
          <t>Carousel</t>
        </is>
      </c>
      <c r="K9" s="8" t="inlineStr">
        <is>
          <t>Sumpah Pemuda Versi Anak Muda Digital: 3 Janji Kita</t>
        </is>
      </c>
      <c r="L9" s="5" t="inlineStr">
        <is>
          <t>Satu ruang digital tanpa perundungan • Satu bahasa: santun di kolom komentar • Satu tekad: bersatu dalam beda (nilai Peace Generation) • Contoh aksi kecil</t>
        </is>
      </c>
      <c r="M9" s="5" t="inlineStr">
        <is>
          <t>Tulis 'janji digital'-mu di komentar</t>
        </is>
      </c>
      <c r="N9" s="5" t="inlineStr">
        <is>
          <t>OSIS &amp; MPK</t>
        </is>
      </c>
      <c r="O9" s="4" t="inlineStr">
        <is>
          <t>Ide</t>
        </is>
      </c>
      <c r="P9" s="5" t="inlineStr"/>
    </row>
    <row r="10">
      <c r="A10" s="4" t="n">
        <v>6</v>
      </c>
      <c r="B10" s="4" t="n">
        <v>2</v>
      </c>
      <c r="C10" s="5" t="inlineStr">
        <is>
          <t>Sisa Semester 1 (Bonus)</t>
        </is>
      </c>
      <c r="D10" s="6" t="n">
        <v>46325</v>
      </c>
      <c r="E10" s="4" t="inlineStr">
        <is>
          <t>Jumat</t>
        </is>
      </c>
      <c r="F10" s="5" t="inlineStr">
        <is>
          <t>#JumatNgobrolBK</t>
        </is>
      </c>
      <c r="G10" s="5" t="inlineStr">
        <is>
          <t>Pemuda Tangguh, Ujian Tenang</t>
        </is>
      </c>
      <c r="H10" s="5" t="inlineStr">
        <is>
          <t>Prakiraan TKA (26–30 Okt); Sumpah Pemuda (28 Okt)</t>
        </is>
      </c>
      <c r="I10" s="7" t="inlineStr">
        <is>
          <t>Belajar</t>
        </is>
      </c>
      <c r="J10" s="4" t="inlineStr">
        <is>
          <t>Reels</t>
        </is>
      </c>
      <c r="K10" s="8" t="inlineStr">
        <is>
          <t>Habis Ujian, Stop Bahas Jawaban Sampai Overthinking</t>
        </is>
      </c>
      <c r="L10" s="5" t="inlineStr">
        <is>
          <t>Kenapa membahas jawaban bikin cemas • 3 cara 'decompress' setelah ujian (jalan, ngobrol hal lain, istirahat) • Fokus ke tes berikutnya</t>
        </is>
      </c>
      <c r="M10" s="5" t="inlineStr">
        <is>
          <t>Kamu tim bahas jawaban atau tim langsung lupa? Komen!</t>
        </is>
      </c>
      <c r="N10" s="5" t="inlineStr">
        <is>
          <t>-</t>
        </is>
      </c>
      <c r="O10" s="4" t="inlineStr">
        <is>
          <t>Ide</t>
        </is>
      </c>
      <c r="P10" s="5" t="inlineStr"/>
    </row>
    <row r="11">
      <c r="A11" s="4" t="n">
        <v>7</v>
      </c>
      <c r="B11" s="4" t="n">
        <v>3</v>
      </c>
      <c r="C11" s="5" t="inlineStr">
        <is>
          <t>Sisa Semester 1 (Bonus)</t>
        </is>
      </c>
      <c r="D11" s="6" t="n">
        <v>46328</v>
      </c>
      <c r="E11" s="4" t="inlineStr">
        <is>
          <t>Senin</t>
        </is>
      </c>
      <c r="F11" s="5" t="inlineStr">
        <is>
          <t>#SeninStarter</t>
        </is>
      </c>
      <c r="G11" s="5" t="inlineStr">
        <is>
          <t>Kelas XII Berjuang, Semua Mendukung</t>
        </is>
      </c>
      <c r="H11" s="5" t="inlineStr">
        <is>
          <t>Prakiraan TKA Kelas XII (2–6 Nov)</t>
        </is>
      </c>
      <c r="I11" s="7" t="inlineStr">
        <is>
          <t>Belajar</t>
        </is>
      </c>
      <c r="J11" s="4" t="inlineStr">
        <is>
          <t>Carousel</t>
        </is>
      </c>
      <c r="K11" s="8" t="inlineStr">
        <is>
          <t>Strategi Jitu Soal HOTS: Baca – Tandai – Eliminasi</t>
        </is>
      </c>
      <c r="L11" s="5" t="inlineStr">
        <is>
          <t>Baca pertanyaan dulu baru teks • Tandai kata kunci • Eliminasi opsi yang jelas salah • Atur waktu per soal • Jangan terpaku di satu soal</t>
        </is>
      </c>
      <c r="M11" s="5" t="inlineStr">
        <is>
          <t>Save untuk latihan berikutnya</t>
        </is>
      </c>
      <c r="N11" s="5" t="inlineStr">
        <is>
          <t>Guru mapel (Matematika/B. Indonesia)</t>
        </is>
      </c>
      <c r="O11" s="4" t="inlineStr">
        <is>
          <t>Ide</t>
        </is>
      </c>
      <c r="P11" s="5" t="inlineStr"/>
    </row>
    <row r="12">
      <c r="A12" s="4" t="n">
        <v>8</v>
      </c>
      <c r="B12" s="4" t="n">
        <v>3</v>
      </c>
      <c r="C12" s="5" t="inlineStr">
        <is>
          <t>Sisa Semester 1 (Bonus)</t>
        </is>
      </c>
      <c r="D12" s="6" t="n">
        <v>46330</v>
      </c>
      <c r="E12" s="4" t="inlineStr">
        <is>
          <t>Rabu</t>
        </is>
      </c>
      <c r="F12" s="5" t="inlineStr">
        <is>
          <t>#RabuRuangAman</t>
        </is>
      </c>
      <c r="G12" s="5" t="inlineStr">
        <is>
          <t>Kelas XII Berjuang, Semua Mendukung</t>
        </is>
      </c>
      <c r="H12" s="5" t="inlineStr">
        <is>
          <t>Prakiraan TKA Kelas XII (2–6 Nov)</t>
        </is>
      </c>
      <c r="I12" s="9" t="inlineStr">
        <is>
          <t>Pribadi</t>
        </is>
      </c>
      <c r="J12" s="4" t="inlineStr">
        <is>
          <t>Carousel</t>
        </is>
      </c>
      <c r="K12" s="8" t="inlineStr">
        <is>
          <t>Cemas Wajar vs Cemas Berlebihan: Kenali Bedanya</t>
        </is>
      </c>
      <c r="L12" s="5" t="inlineStr">
        <is>
          <t>Ciri cemas wajar (sementara, memotivasi) • Ciri cemas berlebih (mengganggu tidur, makan, aktivitas) • Cara menolong diri • Kapan perlu ke BK/profesional</t>
        </is>
      </c>
      <c r="M12" s="5" t="inlineStr">
        <is>
          <t>Butuh cerita? DM atau datang ke ruang BK</t>
        </is>
      </c>
      <c r="N12" s="5" t="inlineStr">
        <is>
          <t>-</t>
        </is>
      </c>
      <c r="O12" s="4" t="inlineStr">
        <is>
          <t>Ide</t>
        </is>
      </c>
      <c r="P12" s="5" t="inlineStr"/>
    </row>
    <row r="13">
      <c r="A13" s="4" t="n">
        <v>9</v>
      </c>
      <c r="B13" s="4" t="n">
        <v>3</v>
      </c>
      <c r="C13" s="5" t="inlineStr">
        <is>
          <t>Sisa Semester 1 (Bonus)</t>
        </is>
      </c>
      <c r="D13" s="6" t="n">
        <v>46332</v>
      </c>
      <c r="E13" s="4" t="inlineStr">
        <is>
          <t>Jumat</t>
        </is>
      </c>
      <c r="F13" s="5" t="inlineStr">
        <is>
          <t>#JumatNgobrolBK</t>
        </is>
      </c>
      <c r="G13" s="5" t="inlineStr">
        <is>
          <t>Kelas XII Berjuang, Semua Mendukung</t>
        </is>
      </c>
      <c r="H13" s="5" t="inlineStr">
        <is>
          <t>Prakiraan TKA Kelas XII (2–6 Nov)</t>
        </is>
      </c>
      <c r="I13" s="10" t="inlineStr">
        <is>
          <t>Sosial</t>
        </is>
      </c>
      <c r="J13" s="4" t="inlineStr">
        <is>
          <t>Reels</t>
        </is>
      </c>
      <c r="K13" s="8" t="inlineStr">
        <is>
          <t>Pesan Adik Kelas untuk Kakak XII</t>
        </is>
      </c>
      <c r="L13" s="5" t="inlineStr">
        <is>
          <t>Kompilasi video singkat siswa X &amp; XI memberi semangat • Ditutup pesan guru BK</t>
        </is>
      </c>
      <c r="M13" s="5" t="inlineStr">
        <is>
          <t>Kakak XII, tag dirimu di komentar!</t>
        </is>
      </c>
      <c r="N13" s="5" t="inlineStr">
        <is>
          <t>OSIS / MPK, siswa X–XI</t>
        </is>
      </c>
      <c r="O13" s="4" t="inlineStr">
        <is>
          <t>Ide</t>
        </is>
      </c>
      <c r="P13" s="5" t="inlineStr"/>
    </row>
    <row r="14">
      <c r="A14" s="4" t="n">
        <v>10</v>
      </c>
      <c r="B14" s="4" t="n">
        <v>4</v>
      </c>
      <c r="C14" s="5" t="inlineStr">
        <is>
          <t>Sisa Semester 1 (Bonus)</t>
        </is>
      </c>
      <c r="D14" s="6" t="n">
        <v>46335</v>
      </c>
      <c r="E14" s="4" t="inlineStr">
        <is>
          <t>Senin</t>
        </is>
      </c>
      <c r="F14" s="5" t="inlineStr">
        <is>
          <t>#SeninStarter</t>
        </is>
      </c>
      <c r="G14" s="5" t="inlineStr">
        <is>
          <t>Jadi Pahlawan Masa Kini: Stop Perundungan</t>
        </is>
      </c>
      <c r="H14" s="5" t="inlineStr">
        <is>
          <t>Hari Pahlawan (10 Nov); World Kindness Day (13 Nov)</t>
        </is>
      </c>
      <c r="I14" s="11" t="inlineStr">
        <is>
          <t>Karier</t>
        </is>
      </c>
      <c r="J14" s="4" t="inlineStr">
        <is>
          <t>Carousel</t>
        </is>
      </c>
      <c r="K14" s="8" t="inlineStr">
        <is>
          <t>5 Profesi 'Pahlawan Masa Kini' &amp; Jurusan Kuliahnya</t>
        </is>
      </c>
      <c r="L14" s="5" t="inlineStr">
        <is>
          <t>Tenaga kesehatan (Keperawatan/Kedokteran) • Guru &amp; Konselor (Kependidikan/BK) • Relawan bencana (Kesmas/Geografi) • Damkar &amp; SAR • Pekerja sosial (Kesejahteraan Sosial)</t>
        </is>
      </c>
      <c r="M14" s="5" t="inlineStr">
        <is>
          <t>Profesi mana yang kamu impikan?</t>
        </is>
      </c>
      <c r="N14" s="5" t="inlineStr">
        <is>
          <t>-</t>
        </is>
      </c>
      <c r="O14" s="4" t="inlineStr">
        <is>
          <t>Ide</t>
        </is>
      </c>
      <c r="P14" s="5" t="inlineStr"/>
    </row>
    <row r="15">
      <c r="A15" s="4" t="n">
        <v>11</v>
      </c>
      <c r="B15" s="4" t="n">
        <v>4</v>
      </c>
      <c r="C15" s="5" t="inlineStr">
        <is>
          <t>Sisa Semester 1 (Bonus)</t>
        </is>
      </c>
      <c r="D15" s="6" t="n">
        <v>46337</v>
      </c>
      <c r="E15" s="4" t="inlineStr">
        <is>
          <t>Rabu</t>
        </is>
      </c>
      <c r="F15" s="5" t="inlineStr">
        <is>
          <t>#RabuRuangAman</t>
        </is>
      </c>
      <c r="G15" s="5" t="inlineStr">
        <is>
          <t>Jadi Pahlawan Masa Kini: Stop Perundungan</t>
        </is>
      </c>
      <c r="H15" s="5" t="inlineStr">
        <is>
          <t>Hari Pahlawan (10 Nov); World Kindness Day (13 Nov)</t>
        </is>
      </c>
      <c r="I15" s="10" t="inlineStr">
        <is>
          <t>Sosial</t>
        </is>
      </c>
      <c r="J15" s="4" t="inlineStr">
        <is>
          <t>Carousel</t>
        </is>
      </c>
      <c r="K15" s="8" t="inlineStr">
        <is>
          <t>Kamu Saksi Bullying? Jadi Pahlawan dengan 5D</t>
        </is>
      </c>
      <c r="L15" s="5" t="inlineStr">
        <is>
          <t>Distract (alihkan) • Delegate (minta bantuan guru/TPPK) • Document (catat bukti) • Delay (dampingi korban setelahnya) • Direct (tegur jika aman) • Info kanal lapor sekolah</t>
        </is>
      </c>
      <c r="M15" s="5" t="inlineStr">
        <is>
          <t>Share agar makin banyak 'pahlawan' di sekolah</t>
        </is>
      </c>
      <c r="N15" s="5" t="inlineStr">
        <is>
          <t>TPPK Sekolah</t>
        </is>
      </c>
      <c r="O15" s="4" t="inlineStr">
        <is>
          <t>Ide</t>
        </is>
      </c>
      <c r="P15" s="5" t="inlineStr"/>
    </row>
    <row r="16">
      <c r="A16" s="4" t="n">
        <v>12</v>
      </c>
      <c r="B16" s="4" t="n">
        <v>4</v>
      </c>
      <c r="C16" s="5" t="inlineStr">
        <is>
          <t>Sisa Semester 1 (Bonus)</t>
        </is>
      </c>
      <c r="D16" s="6" t="n">
        <v>46339</v>
      </c>
      <c r="E16" s="4" t="inlineStr">
        <is>
          <t>Jumat</t>
        </is>
      </c>
      <c r="F16" s="5" t="inlineStr">
        <is>
          <t>#JumatNgobrolBK</t>
        </is>
      </c>
      <c r="G16" s="5" t="inlineStr">
        <is>
          <t>Jadi Pahlawan Masa Kini: Stop Perundungan</t>
        </is>
      </c>
      <c r="H16" s="5" t="inlineStr">
        <is>
          <t>Hari Pahlawan (10 Nov); World Kindness Day (13 Nov)</t>
        </is>
      </c>
      <c r="I16" s="10" t="inlineStr">
        <is>
          <t>Sosial</t>
        </is>
      </c>
      <c r="J16" s="4" t="inlineStr">
        <is>
          <t>Reels</t>
        </is>
      </c>
      <c r="K16" s="8" t="inlineStr">
        <is>
          <t>#TantanganBaik 7 Hari ala SMANRICI</t>
        </is>
      </c>
      <c r="L16" s="5" t="inlineStr">
        <is>
          <t>Ide kebaikan kecil tiap hari: sapa teman baru, puji tulus, bantu piket, dll. • Ajak siswa unggah story &amp; tag akun BK</t>
        </is>
      </c>
      <c r="M16" s="5" t="inlineStr">
        <is>
          <t>Ikut tantangan &amp; tag @akunBK</t>
        </is>
      </c>
      <c r="N16" s="5" t="inlineStr">
        <is>
          <t>OSIS &amp; PMR</t>
        </is>
      </c>
      <c r="O16" s="4" t="inlineStr">
        <is>
          <t>Ide</t>
        </is>
      </c>
      <c r="P16" s="5" t="inlineStr"/>
    </row>
    <row r="17">
      <c r="A17" s="4" t="n">
        <v>13</v>
      </c>
      <c r="B17" s="4" t="n">
        <v>5</v>
      </c>
      <c r="C17" s="5" t="inlineStr">
        <is>
          <t>Sisa Semester 1 (Bonus)</t>
        </is>
      </c>
      <c r="D17" s="6" t="n">
        <v>46342</v>
      </c>
      <c r="E17" s="4" t="inlineStr">
        <is>
          <t>Senin</t>
        </is>
      </c>
      <c r="F17" s="5" t="inlineStr">
        <is>
          <t>#SeninStarter</t>
        </is>
      </c>
      <c r="G17" s="5" t="inlineStr">
        <is>
          <t>Beda Itu Biasa: Toleransi &amp; Hak Anak</t>
        </is>
      </c>
      <c r="H17" s="5" t="inlineStr">
        <is>
          <t>Hari Toleransi Internasional (16 Nov); Hari Anak Sedunia (20 Nov)</t>
        </is>
      </c>
      <c r="I17" s="7" t="inlineStr">
        <is>
          <t>Belajar</t>
        </is>
      </c>
      <c r="J17" s="4" t="inlineStr">
        <is>
          <t>Reels</t>
        </is>
      </c>
      <c r="K17" s="8" t="inlineStr">
        <is>
          <t>Kerja Kelompok dengan Teman Beda Karakter Tanpa Drama</t>
        </is>
      </c>
      <c r="L17" s="5" t="inlineStr">
        <is>
          <t>Sepakati tujuan &amp; tenggat • Bagi peran sesuai kekuatan • Komunikasi rutin di grup • Selesaikan beda pendapat dengan voting/diskusi • Apresiasi kontribusi</t>
        </is>
      </c>
      <c r="M17" s="5" t="inlineStr">
        <is>
          <t>Tag teman kelompok terbaikmu</t>
        </is>
      </c>
      <c r="N17" s="5" t="inlineStr">
        <is>
          <t>-</t>
        </is>
      </c>
      <c r="O17" s="4" t="inlineStr">
        <is>
          <t>Ide</t>
        </is>
      </c>
      <c r="P17" s="5" t="inlineStr"/>
    </row>
    <row r="18">
      <c r="A18" s="4" t="n">
        <v>14</v>
      </c>
      <c r="B18" s="4" t="n">
        <v>5</v>
      </c>
      <c r="C18" s="5" t="inlineStr">
        <is>
          <t>Sisa Semester 1 (Bonus)</t>
        </is>
      </c>
      <c r="D18" s="6" t="n">
        <v>46344</v>
      </c>
      <c r="E18" s="4" t="inlineStr">
        <is>
          <t>Rabu</t>
        </is>
      </c>
      <c r="F18" s="5" t="inlineStr">
        <is>
          <t>#RabuRuangAman</t>
        </is>
      </c>
      <c r="G18" s="5" t="inlineStr">
        <is>
          <t>Beda Itu Biasa: Toleransi &amp; Hak Anak</t>
        </is>
      </c>
      <c r="H18" s="5" t="inlineStr">
        <is>
          <t>Hari Toleransi Internasional (16 Nov); Hari Anak Sedunia (20 Nov)</t>
        </is>
      </c>
      <c r="I18" s="10" t="inlineStr">
        <is>
          <t>Sosial</t>
        </is>
      </c>
      <c r="J18" s="4" t="inlineStr">
        <is>
          <t>Carousel</t>
        </is>
      </c>
      <c r="K18" s="8" t="inlineStr">
        <is>
          <t>Candaan SARA &amp; Body Shaming: Bukan Lucu, Tapi Luka</t>
        </is>
      </c>
      <c r="L18" s="5" t="inlineStr">
        <is>
          <t>Contoh candaan yang sering dianggap biasa • Dampaknya pada korban • Stereotip vs fakta • Cara menegur teman dengan santun • Nilai 'menerima perbedaan' (Peace Generation)</t>
        </is>
      </c>
      <c r="M18" s="5" t="inlineStr">
        <is>
          <t>Kalau temanmu bercanda kelewatan, apa yang kamu lakukan?</t>
        </is>
      </c>
      <c r="N18" s="5" t="inlineStr">
        <is>
          <t>Trainer Peace Generation (Guru BK)</t>
        </is>
      </c>
      <c r="O18" s="4" t="inlineStr">
        <is>
          <t>Ide</t>
        </is>
      </c>
      <c r="P18" s="5" t="inlineStr"/>
    </row>
    <row r="19">
      <c r="A19" s="4" t="n">
        <v>15</v>
      </c>
      <c r="B19" s="4" t="n">
        <v>5</v>
      </c>
      <c r="C19" s="5" t="inlineStr">
        <is>
          <t>Sisa Semester 1 (Bonus)</t>
        </is>
      </c>
      <c r="D19" s="6" t="n">
        <v>46346</v>
      </c>
      <c r="E19" s="4" t="inlineStr">
        <is>
          <t>Jumat</t>
        </is>
      </c>
      <c r="F19" s="5" t="inlineStr">
        <is>
          <t>#JumatNgobrolBK</t>
        </is>
      </c>
      <c r="G19" s="5" t="inlineStr">
        <is>
          <t>Beda Itu Biasa: Toleransi &amp; Hak Anak</t>
        </is>
      </c>
      <c r="H19" s="5" t="inlineStr">
        <is>
          <t>Hari Toleransi Internasional (16 Nov); Hari Anak Sedunia (20 Nov)</t>
        </is>
      </c>
      <c r="I19" s="9" t="inlineStr">
        <is>
          <t>Pribadi</t>
        </is>
      </c>
      <c r="J19" s="4" t="inlineStr">
        <is>
          <t>Infografis</t>
        </is>
      </c>
      <c r="K19" s="8" t="inlineStr">
        <is>
          <t>Hak Remaja yang Perlu Kamu Tahu</t>
        </is>
      </c>
      <c r="L19" s="5" t="inlineStr">
        <is>
          <t>Hak didengar • Hak aman dari kekerasan • Hak privasi • Hak pendidikan • Ke mana melapor: BK, TPPK, SAPA 129 / WA 08111-129-129</t>
        </is>
      </c>
      <c r="M19" s="5" t="inlineStr">
        <is>
          <t>Save &amp; sebarkan</t>
        </is>
      </c>
      <c r="N19" s="5" t="inlineStr">
        <is>
          <t>-</t>
        </is>
      </c>
      <c r="O19" s="4" t="inlineStr">
        <is>
          <t>Ide</t>
        </is>
      </c>
      <c r="P19" s="5" t="inlineStr"/>
    </row>
    <row r="20">
      <c r="A20" s="4" t="n">
        <v>16</v>
      </c>
      <c r="B20" s="4" t="n">
        <v>6</v>
      </c>
      <c r="C20" s="5" t="inlineStr">
        <is>
          <t>Sisa Semester 1 (Bonus)</t>
        </is>
      </c>
      <c r="D20" s="6" t="n">
        <v>46349</v>
      </c>
      <c r="E20" s="4" t="inlineStr">
        <is>
          <t>Senin</t>
        </is>
      </c>
      <c r="F20" s="5" t="inlineStr">
        <is>
          <t>#SeninStarter</t>
        </is>
      </c>
      <c r="G20" s="5" t="inlineStr">
        <is>
          <t>Terima Kasih, Guru</t>
        </is>
      </c>
      <c r="H20" s="5" t="inlineStr">
        <is>
          <t>Hari Guru Nasional (25 Nov)</t>
        </is>
      </c>
      <c r="I20" s="7" t="inlineStr">
        <is>
          <t>Belajar</t>
        </is>
      </c>
      <c r="J20" s="4" t="inlineStr">
        <is>
          <t>Carousel</t>
        </is>
      </c>
      <c r="K20" s="8" t="inlineStr">
        <is>
          <t>Takut Bertanya ke Guru? Ini Template Chat Sopan</t>
        </is>
      </c>
      <c r="L20" s="5" t="inlineStr">
        <is>
          <t>Waktu yang tepat mengirim pesan • Salam &amp; perkenalan (nama, kelas) • Sampaikan maksud singkat • Ucapkan terima kasih • Contoh chat benar vs kurang tepat</t>
        </is>
      </c>
      <c r="M20" s="5" t="inlineStr">
        <is>
          <t>Save template-nya!</t>
        </is>
      </c>
      <c r="N20" s="5" t="inlineStr">
        <is>
          <t>-</t>
        </is>
      </c>
      <c r="O20" s="4" t="inlineStr">
        <is>
          <t>Ide</t>
        </is>
      </c>
      <c r="P20" s="5" t="inlineStr"/>
    </row>
    <row r="21">
      <c r="A21" s="4" t="n">
        <v>17</v>
      </c>
      <c r="B21" s="4" t="n">
        <v>6</v>
      </c>
      <c r="C21" s="5" t="inlineStr">
        <is>
          <t>Sisa Semester 1 (Bonus)</t>
        </is>
      </c>
      <c r="D21" s="6" t="n">
        <v>46351</v>
      </c>
      <c r="E21" s="4" t="inlineStr">
        <is>
          <t>Rabu</t>
        </is>
      </c>
      <c r="F21" s="5" t="inlineStr">
        <is>
          <t>#RabuRuangAman</t>
        </is>
      </c>
      <c r="G21" s="5" t="inlineStr">
        <is>
          <t>Terima Kasih, Guru</t>
        </is>
      </c>
      <c r="H21" s="5" t="inlineStr">
        <is>
          <t>Hari Guru Nasional (25 Nov)</t>
        </is>
      </c>
      <c r="I21" s="10" t="inlineStr">
        <is>
          <t>Sosial</t>
        </is>
      </c>
      <c r="J21" s="4" t="inlineStr">
        <is>
          <t>Reels</t>
        </is>
      </c>
      <c r="K21" s="8" t="inlineStr">
        <is>
          <t>Selamat Hari Guru: Pesan dari Kami untuk Bapak/Ibu Guru</t>
        </is>
      </c>
      <c r="L21" s="5" t="inlineStr">
        <is>
          <t>Siswa membacakan ucapan singkat • Momen guru membaca surat siswa • Musik hangat</t>
        </is>
      </c>
      <c r="M21" s="5" t="inlineStr">
        <is>
          <t>Tulis ucapan untuk gurumu di komentar</t>
        </is>
      </c>
      <c r="N21" s="5" t="inlineStr">
        <is>
          <t>OSIS &amp; seluruh guru</t>
        </is>
      </c>
      <c r="O21" s="4" t="inlineStr">
        <is>
          <t>Ide</t>
        </is>
      </c>
      <c r="P21" s="5" t="inlineStr"/>
    </row>
    <row r="22">
      <c r="A22" s="4" t="n">
        <v>18</v>
      </c>
      <c r="B22" s="4" t="n">
        <v>6</v>
      </c>
      <c r="C22" s="5" t="inlineStr">
        <is>
          <t>Sisa Semester 1 (Bonus)</t>
        </is>
      </c>
      <c r="D22" s="6" t="n">
        <v>46353</v>
      </c>
      <c r="E22" s="4" t="inlineStr">
        <is>
          <t>Jumat</t>
        </is>
      </c>
      <c r="F22" s="5" t="inlineStr">
        <is>
          <t>#JumatNgobrolBK</t>
        </is>
      </c>
      <c r="G22" s="5" t="inlineStr">
        <is>
          <t>Terima Kasih, Guru</t>
        </is>
      </c>
      <c r="H22" s="5" t="inlineStr">
        <is>
          <t>Hari Guru Nasional (25 Nov)</t>
        </is>
      </c>
      <c r="I22" s="11" t="inlineStr">
        <is>
          <t>Karier</t>
        </is>
      </c>
      <c r="J22" s="4" t="inlineStr">
        <is>
          <t>Carousel</t>
        </is>
      </c>
      <c r="K22" s="8" t="inlineStr">
        <is>
          <t>Mau Jadi Guru? Kenali Jalurnya</t>
        </is>
      </c>
      <c r="L22" s="5" t="inlineStr">
        <is>
          <t>S1 Kependidikan (termasuk BK) • Pendidikan Profesi Guru (PPG) • Kampus LPTK di Jawa Barat • Skill yang dibutuhkan • Cerita singkat guru BK</t>
        </is>
      </c>
      <c r="M22" s="5" t="inlineStr">
        <is>
          <t>Siapa yang bercita-cita jadi guru? Angkat tangan di komentar ✋</t>
        </is>
      </c>
      <c r="N22" s="5" t="inlineStr">
        <is>
          <t>Guru BK &amp; guru muda</t>
        </is>
      </c>
      <c r="O22" s="4" t="inlineStr">
        <is>
          <t>Ide</t>
        </is>
      </c>
      <c r="P22" s="5" t="inlineStr"/>
    </row>
    <row r="23">
      <c r="A23" s="4" t="n">
        <v>19</v>
      </c>
      <c r="B23" s="4" t="n">
        <v>7</v>
      </c>
      <c r="C23" s="5" t="inlineStr">
        <is>
          <t>Sisa Semester 1 (Bonus)</t>
        </is>
      </c>
      <c r="D23" s="6" t="n">
        <v>46356</v>
      </c>
      <c r="E23" s="4" t="inlineStr">
        <is>
          <t>Senin</t>
        </is>
      </c>
      <c r="F23" s="5" t="inlineStr">
        <is>
          <t>#SeninStarter</t>
        </is>
      </c>
      <c r="G23" s="5" t="inlineStr">
        <is>
          <t>ASAS Mode: Fokus &amp; Tenang</t>
        </is>
      </c>
      <c r="H23" s="5" t="inlineStr">
        <is>
          <t>ASAS (30 Nov–4 Des); Hari AIDS Sedunia (1 Des); Hari Disabilitas Internasional (3 Des)</t>
        </is>
      </c>
      <c r="I23" s="7" t="inlineStr">
        <is>
          <t>Belajar</t>
        </is>
      </c>
      <c r="J23" s="4" t="inlineStr">
        <is>
          <t>Single Image</t>
        </is>
      </c>
      <c r="K23" s="8" t="inlineStr">
        <is>
          <t>Tidur Cukup &gt; Sistem Kebut Semalam</t>
        </is>
      </c>
      <c r="L23" s="5" t="inlineStr">
        <is>
          <t>Fakta: tidur membantu otak menyimpan memori • Rekomendasi tidur remaja 8–10 jam • Pesan singkat semangat ASAS</t>
        </is>
      </c>
      <c r="M23" s="5" t="inlineStr">
        <is>
          <t>Kamu tidur jam berapa semalam? Jujur ya 😄</t>
        </is>
      </c>
      <c r="N23" s="5" t="inlineStr">
        <is>
          <t>-</t>
        </is>
      </c>
      <c r="O23" s="4" t="inlineStr">
        <is>
          <t>Ide</t>
        </is>
      </c>
      <c r="P23" s="5" t="inlineStr"/>
    </row>
    <row r="24">
      <c r="A24" s="4" t="n">
        <v>20</v>
      </c>
      <c r="B24" s="4" t="n">
        <v>7</v>
      </c>
      <c r="C24" s="5" t="inlineStr">
        <is>
          <t>Sisa Semester 1 (Bonus)</t>
        </is>
      </c>
      <c r="D24" s="6" t="n">
        <v>46358</v>
      </c>
      <c r="E24" s="4" t="inlineStr">
        <is>
          <t>Rabu</t>
        </is>
      </c>
      <c r="F24" s="5" t="inlineStr">
        <is>
          <t>#RabuRuangAman</t>
        </is>
      </c>
      <c r="G24" s="5" t="inlineStr">
        <is>
          <t>ASAS Mode: Fokus &amp; Tenang</t>
        </is>
      </c>
      <c r="H24" s="5" t="inlineStr">
        <is>
          <t>ASAS (30 Nov–4 Des); Hari AIDS Sedunia (1 Des); Hari Disabilitas Internasional (3 Des)</t>
        </is>
      </c>
      <c r="I24" s="9" t="inlineStr">
        <is>
          <t>Pribadi</t>
        </is>
      </c>
      <c r="J24" s="4" t="inlineStr">
        <is>
          <t>Carousel</t>
        </is>
      </c>
      <c r="K24" s="8" t="inlineStr">
        <is>
          <t>Teknik Tenang 3 Menit Sebelum Ujian</t>
        </is>
      </c>
      <c r="L24" s="5" t="inlineStr">
        <is>
          <t>Napas 4-7-8 • Relaksasi otot (kepal–lepas) • Self-talk positif ('aku sudah siap') • Fokus pada soal di depan mata</t>
        </is>
      </c>
      <c r="M24" s="5" t="inlineStr">
        <is>
          <t>Coba sekarang, lalu ceritakan rasanya</t>
        </is>
      </c>
      <c r="N24" s="5" t="inlineStr">
        <is>
          <t>-</t>
        </is>
      </c>
      <c r="O24" s="4" t="inlineStr">
        <is>
          <t>Ide</t>
        </is>
      </c>
      <c r="P24" s="5" t="inlineStr"/>
    </row>
    <row r="25">
      <c r="A25" s="4" t="n">
        <v>21</v>
      </c>
      <c r="B25" s="4" t="n">
        <v>7</v>
      </c>
      <c r="C25" s="5" t="inlineStr">
        <is>
          <t>Sisa Semester 1 (Bonus)</t>
        </is>
      </c>
      <c r="D25" s="6" t="n">
        <v>46360</v>
      </c>
      <c r="E25" s="4" t="inlineStr">
        <is>
          <t>Jumat</t>
        </is>
      </c>
      <c r="F25" s="5" t="inlineStr">
        <is>
          <t>#JumatNgobrolBK</t>
        </is>
      </c>
      <c r="G25" s="5" t="inlineStr">
        <is>
          <t>ASAS Mode: Fokus &amp; Tenang</t>
        </is>
      </c>
      <c r="H25" s="5" t="inlineStr">
        <is>
          <t>ASAS (30 Nov–4 Des); Hari AIDS Sedunia (1 Des); Hari Disabilitas Internasional (3 Des)</t>
        </is>
      </c>
      <c r="I25" s="9" t="inlineStr">
        <is>
          <t>Pribadi</t>
        </is>
      </c>
      <c r="J25" s="4" t="inlineStr">
        <is>
          <t>Reels</t>
        </is>
      </c>
      <c r="K25" s="8" t="inlineStr">
        <is>
          <t>ASAS Selesai! 5 Cara Recharge yang Sehat</t>
        </is>
      </c>
      <c r="L25" s="5" t="inlineStr">
        <is>
          <t>Tidur siang secukupnya • Gerak/olahraga ringan • Ngobrol dengan keluarga • Hobi tanpa layar • Batasi scroll berjam-jam</t>
        </is>
      </c>
      <c r="M25" s="5" t="inlineStr">
        <is>
          <t>Cara recharge favoritmu apa?</t>
        </is>
      </c>
      <c r="N25" s="5" t="inlineStr">
        <is>
          <t>-</t>
        </is>
      </c>
      <c r="O25" s="4" t="inlineStr">
        <is>
          <t>Ide</t>
        </is>
      </c>
      <c r="P25" s="5" t="inlineStr"/>
    </row>
    <row r="26">
      <c r="A26" s="4" t="n">
        <v>22</v>
      </c>
      <c r="B26" s="4" t="n">
        <v>8</v>
      </c>
      <c r="C26" s="5" t="inlineStr">
        <is>
          <t>Sisa Semester 1 (Bonus)</t>
        </is>
      </c>
      <c r="D26" s="6" t="n">
        <v>46363</v>
      </c>
      <c r="E26" s="4" t="inlineStr">
        <is>
          <t>Senin</t>
        </is>
      </c>
      <c r="F26" s="5" t="inlineStr">
        <is>
          <t>#SeninStarter</t>
        </is>
      </c>
      <c r="G26" s="5" t="inlineStr">
        <is>
          <t>Refleksi Semester: Aku yang Bertumbuh</t>
        </is>
      </c>
      <c r="H26" s="5" t="inlineStr">
        <is>
          <t>Pasca-ASAS / classmeeting; Hari HAM (10 Des)</t>
        </is>
      </c>
      <c r="I26" s="7" t="inlineStr">
        <is>
          <t>Belajar</t>
        </is>
      </c>
      <c r="J26" s="4" t="inlineStr">
        <is>
          <t>Carousel</t>
        </is>
      </c>
      <c r="K26" s="8" t="inlineStr">
        <is>
          <t>Evaluasi Belajar ala Start–Stop–Continue</t>
        </is>
      </c>
      <c r="L26" s="5" t="inlineStr">
        <is>
          <t>Start: kebiasaan baru yang ingin dimulai • Stop: kebiasaan yang menghambat • Continue: yang sudah berhasil • Template untuk ditulis sendiri</t>
        </is>
      </c>
      <c r="M26" s="5" t="inlineStr">
        <is>
          <t>Screenshot template &amp; isi di story</t>
        </is>
      </c>
      <c r="N26" s="5" t="inlineStr">
        <is>
          <t>-</t>
        </is>
      </c>
      <c r="O26" s="4" t="inlineStr">
        <is>
          <t>Ide</t>
        </is>
      </c>
      <c r="P26" s="5" t="inlineStr"/>
    </row>
    <row r="27">
      <c r="A27" s="4" t="n">
        <v>23</v>
      </c>
      <c r="B27" s="4" t="n">
        <v>8</v>
      </c>
      <c r="C27" s="5" t="inlineStr">
        <is>
          <t>Sisa Semester 1 (Bonus)</t>
        </is>
      </c>
      <c r="D27" s="6" t="n">
        <v>46365</v>
      </c>
      <c r="E27" s="4" t="inlineStr">
        <is>
          <t>Rabu</t>
        </is>
      </c>
      <c r="F27" s="5" t="inlineStr">
        <is>
          <t>#RabuRuangAman</t>
        </is>
      </c>
      <c r="G27" s="5" t="inlineStr">
        <is>
          <t>Refleksi Semester: Aku yang Bertumbuh</t>
        </is>
      </c>
      <c r="H27" s="5" t="inlineStr">
        <is>
          <t>Pasca-ASAS / classmeeting; Hari HAM (10 Des)</t>
        </is>
      </c>
      <c r="I27" s="9" t="inlineStr">
        <is>
          <t>Pribadi</t>
        </is>
      </c>
      <c r="J27" s="4" t="inlineStr">
        <is>
          <t>Reels</t>
        </is>
      </c>
      <c r="K27" s="8" t="inlineStr">
        <is>
          <t>Self-Compassion: Cara Bicara pada Diri Saat Nilai Belum Sesuai Harapan</t>
        </is>
      </c>
      <c r="L27" s="5" t="inlineStr">
        <is>
          <t>Kenali kritik batin yang keras • Bicara seperti ke sahabat • Pisahkan nilai dari harga diri • Fokus pada langkah perbaikan</t>
        </is>
      </c>
      <c r="M27" s="5" t="inlineStr">
        <is>
          <t>Kalimat apa yang ingin kamu dengar saat gagal?</t>
        </is>
      </c>
      <c r="N27" s="5" t="inlineStr">
        <is>
          <t>-</t>
        </is>
      </c>
      <c r="O27" s="4" t="inlineStr">
        <is>
          <t>Ide</t>
        </is>
      </c>
      <c r="P27" s="5" t="inlineStr"/>
    </row>
    <row r="28">
      <c r="A28" s="4" t="n">
        <v>24</v>
      </c>
      <c r="B28" s="4" t="n">
        <v>8</v>
      </c>
      <c r="C28" s="5" t="inlineStr">
        <is>
          <t>Sisa Semester 1 (Bonus)</t>
        </is>
      </c>
      <c r="D28" s="6" t="n">
        <v>46367</v>
      </c>
      <c r="E28" s="4" t="inlineStr">
        <is>
          <t>Jumat</t>
        </is>
      </c>
      <c r="F28" s="5" t="inlineStr">
        <is>
          <t>#JumatNgobrolBK</t>
        </is>
      </c>
      <c r="G28" s="5" t="inlineStr">
        <is>
          <t>Refleksi Semester: Aku yang Bertumbuh</t>
        </is>
      </c>
      <c r="H28" s="5" t="inlineStr">
        <is>
          <t>Pasca-ASAS / classmeeting; Hari HAM (10 Des)</t>
        </is>
      </c>
      <c r="I28" s="10" t="inlineStr">
        <is>
          <t>Sosial</t>
        </is>
      </c>
      <c r="J28" s="4" t="inlineStr">
        <is>
          <t>Reels</t>
        </is>
      </c>
      <c r="K28" s="8" t="inlineStr">
        <is>
          <t>Sportif Itu Keren: Classmeeting Tanpa Perundungan</t>
        </is>
      </c>
      <c r="L28" s="5" t="inlineStr">
        <is>
          <t>Dokumentasi classmeeting • Momen saling dukung antarkelas • Pesan HAM: hormati semua teman</t>
        </is>
      </c>
      <c r="M28" s="5" t="inlineStr">
        <is>
          <t>Kelas mana yang paling sportif? Komen!</t>
        </is>
      </c>
      <c r="N28" s="5" t="inlineStr">
        <is>
          <t>OSIS &amp; Wali Kelas</t>
        </is>
      </c>
      <c r="O28" s="4" t="inlineStr">
        <is>
          <t>Ide</t>
        </is>
      </c>
      <c r="P28" s="5" t="inlineStr"/>
    </row>
    <row r="29">
      <c r="A29" s="4" t="n">
        <v>25</v>
      </c>
      <c r="B29" s="4" t="n">
        <v>9</v>
      </c>
      <c r="C29" s="5" t="inlineStr">
        <is>
          <t>Sisa Semester 1 (Bonus)</t>
        </is>
      </c>
      <c r="D29" s="6" t="n">
        <v>46370</v>
      </c>
      <c r="E29" s="4" t="inlineStr">
        <is>
          <t>Senin</t>
        </is>
      </c>
      <c r="F29" s="5" t="inlineStr">
        <is>
          <t>#SeninStarter</t>
        </is>
      </c>
      <c r="G29" s="5" t="inlineStr">
        <is>
          <t>Remedial Bukan Aib, Kesempatan Kedua</t>
        </is>
      </c>
      <c r="H29" s="5" t="inlineStr">
        <is>
          <t>Masa remedial/pengayaan &amp; pengolahan nilai</t>
        </is>
      </c>
      <c r="I29" s="7" t="inlineStr">
        <is>
          <t>Belajar</t>
        </is>
      </c>
      <c r="J29" s="4" t="inlineStr">
        <is>
          <t>Single Image</t>
        </is>
      </c>
      <c r="K29" s="8" t="inlineStr">
        <is>
          <t>Remedial = Second Chance, Bukan Label</t>
        </is>
      </c>
      <c r="L29" s="5" t="inlineStr">
        <is>
          <t>Quote: 'Remedial bukan berarti kamu bodoh, tapi kamu diberi kesempatan untuk paham' • Tips singkat minta bimbingan guru</t>
        </is>
      </c>
      <c r="M29" s="5" t="inlineStr">
        <is>
          <t>Share ke teman yang lagi remedial</t>
        </is>
      </c>
      <c r="N29" s="5" t="inlineStr">
        <is>
          <t>-</t>
        </is>
      </c>
      <c r="O29" s="4" t="inlineStr">
        <is>
          <t>Ide</t>
        </is>
      </c>
      <c r="P29" s="5" t="inlineStr"/>
    </row>
    <row r="30">
      <c r="A30" s="4" t="n">
        <v>26</v>
      </c>
      <c r="B30" s="4" t="n">
        <v>9</v>
      </c>
      <c r="C30" s="5" t="inlineStr">
        <is>
          <t>Sisa Semester 1 (Bonus)</t>
        </is>
      </c>
      <c r="D30" s="6" t="n">
        <v>46372</v>
      </c>
      <c r="E30" s="4" t="inlineStr">
        <is>
          <t>Rabu</t>
        </is>
      </c>
      <c r="F30" s="5" t="inlineStr">
        <is>
          <t>#RabuRuangAman</t>
        </is>
      </c>
      <c r="G30" s="5" t="inlineStr">
        <is>
          <t>Remedial Bukan Aib, Kesempatan Kedua</t>
        </is>
      </c>
      <c r="H30" s="5" t="inlineStr">
        <is>
          <t>Masa remedial/pengayaan &amp; pengolahan nilai</t>
        </is>
      </c>
      <c r="I30" s="10" t="inlineStr">
        <is>
          <t>Sosial</t>
        </is>
      </c>
      <c r="J30" s="4" t="inlineStr">
        <is>
          <t>Carousel</t>
        </is>
      </c>
      <c r="K30" s="8" t="inlineStr">
        <is>
          <t>Cara Jujur ke Orang Tua soal Nilai</t>
        </is>
      </c>
      <c r="L30" s="5" t="inlineStr">
        <is>
          <t>Pilih waktu yang tenang • Gunakan 'aku merasa…' (I-message) • Akui &amp; jelaskan tanpa menyalahkan • Bawa rencana perbaikan • Minta dukungan</t>
        </is>
      </c>
      <c r="M30" s="5" t="inlineStr">
        <is>
          <t>Pernah deg-degan ngomong soal nilai? Cerita yuk</t>
        </is>
      </c>
      <c r="N30" s="5" t="inlineStr">
        <is>
          <t>-</t>
        </is>
      </c>
      <c r="O30" s="4" t="inlineStr">
        <is>
          <t>Ide</t>
        </is>
      </c>
      <c r="P30" s="5" t="inlineStr"/>
    </row>
    <row r="31">
      <c r="A31" s="4" t="n">
        <v>27</v>
      </c>
      <c r="B31" s="4" t="n">
        <v>9</v>
      </c>
      <c r="C31" s="5" t="inlineStr">
        <is>
          <t>Sisa Semester 1 (Bonus)</t>
        </is>
      </c>
      <c r="D31" s="6" t="n">
        <v>46374</v>
      </c>
      <c r="E31" s="4" t="inlineStr">
        <is>
          <t>Jumat</t>
        </is>
      </c>
      <c r="F31" s="5" t="inlineStr">
        <is>
          <t>#JumatNgobrolBK</t>
        </is>
      </c>
      <c r="G31" s="5" t="inlineStr">
        <is>
          <t>Remedial Bukan Aib, Kesempatan Kedua</t>
        </is>
      </c>
      <c r="H31" s="5" t="inlineStr">
        <is>
          <t>Masa remedial/pengayaan &amp; pengolahan nilai</t>
        </is>
      </c>
      <c r="I31" s="11" t="inlineStr">
        <is>
          <t>Karier</t>
        </is>
      </c>
      <c r="J31" s="4" t="inlineStr">
        <is>
          <t>Kuis Interaktif</t>
        </is>
      </c>
      <c r="K31" s="8" t="inlineStr">
        <is>
          <t>Kuis: Kamu Tipe RIASEC yang Mana?</t>
        </is>
      </c>
      <c r="L31" s="5" t="inlineStr">
        <is>
          <t>Penjelasan 6 tipe Holland (Realistic, Investigative, Artistic, Social, Enterprising, Conventional) • Contoh jurusan &amp; profesi tiap tipe • Ajak tes lengkap di BK</t>
        </is>
      </c>
      <c r="M31" s="5" t="inlineStr">
        <is>
          <t>Komen huruf tipe kamu!</t>
        </is>
      </c>
      <c r="N31" s="5" t="inlineStr">
        <is>
          <t>-</t>
        </is>
      </c>
      <c r="O31" s="4" t="inlineStr">
        <is>
          <t>Ide</t>
        </is>
      </c>
      <c r="P31" s="5" t="inlineStr"/>
    </row>
    <row r="32">
      <c r="A32" s="4" t="n">
        <v>28</v>
      </c>
      <c r="B32" s="4" t="n">
        <v>10</v>
      </c>
      <c r="C32" s="5" t="inlineStr">
        <is>
          <t>Sisa Semester 1 (Bonus)</t>
        </is>
      </c>
      <c r="D32" s="6" t="n">
        <v>46377</v>
      </c>
      <c r="E32" s="4" t="inlineStr">
        <is>
          <t>Senin</t>
        </is>
      </c>
      <c r="F32" s="5" t="inlineStr">
        <is>
          <t>#SeninStarter</t>
        </is>
      </c>
      <c r="G32" s="5" t="inlineStr">
        <is>
          <t>Rapor &amp; Rumah</t>
        </is>
      </c>
      <c r="H32" s="5" t="inlineStr">
        <is>
          <t>Hari Ibu (22 Des); Penetapan &amp; Pembagian Rapor (23 Des); Natal (25 Des)</t>
        </is>
      </c>
      <c r="I32" s="10" t="inlineStr">
        <is>
          <t>Sosial</t>
        </is>
      </c>
      <c r="J32" s="4" t="inlineStr">
        <is>
          <t>Carousel</t>
        </is>
      </c>
      <c r="K32" s="8" t="inlineStr">
        <is>
          <t>5 Cara Sederhana Bilang Sayang ke Ibu (Tanpa Canggung)</t>
        </is>
      </c>
      <c r="L32" s="5" t="inlineStr">
        <is>
          <t>Bantu pekerjaan rumah tanpa disuruh • Tulis surat/kartu kecil • Ajak ngobrol &amp; dengarkan • Peluk/salim • Doakan • Catatan untuk yang kehilangan ibu (empatik)</t>
        </is>
      </c>
      <c r="M32" s="5" t="inlineStr">
        <is>
          <t>Tag ibumu atau tulis pesan untuknya</t>
        </is>
      </c>
      <c r="N32" s="5" t="inlineStr">
        <is>
          <t>-</t>
        </is>
      </c>
      <c r="O32" s="4" t="inlineStr">
        <is>
          <t>Ide</t>
        </is>
      </c>
      <c r="P32" s="5" t="inlineStr"/>
    </row>
    <row r="33">
      <c r="A33" s="4" t="n">
        <v>29</v>
      </c>
      <c r="B33" s="4" t="n">
        <v>10</v>
      </c>
      <c r="C33" s="5" t="inlineStr">
        <is>
          <t>Sisa Semester 1 (Bonus)</t>
        </is>
      </c>
      <c r="D33" s="6" t="n">
        <v>46379</v>
      </c>
      <c r="E33" s="4" t="inlineStr">
        <is>
          <t>Rabu</t>
        </is>
      </c>
      <c r="F33" s="5" t="inlineStr">
        <is>
          <t>#RabuRuangAman</t>
        </is>
      </c>
      <c r="G33" s="5" t="inlineStr">
        <is>
          <t>Rapor &amp; Rumah</t>
        </is>
      </c>
      <c r="H33" s="5" t="inlineStr">
        <is>
          <t>Hari Ibu (22 Des); Penetapan &amp; Pembagian Rapor (23 Des); Natal (25 Des)</t>
        </is>
      </c>
      <c r="I33" s="9" t="inlineStr">
        <is>
          <t>Pribadi</t>
        </is>
      </c>
      <c r="J33" s="4" t="inlineStr">
        <is>
          <t>Carousel</t>
        </is>
      </c>
      <c r="K33" s="8" t="inlineStr">
        <is>
          <t>Rapor Bukan Ramalan Masa Depan</t>
        </is>
      </c>
      <c r="L33" s="5" t="inlineStr">
        <is>
          <t>Cara membaca rapor dengan kepala dingin • Lihat tren, bukan angka saja • Kenali kekuatan • Tentukan 2 target semester depan • Pesan untuk orang tua: dampingi, bukan bandingkan</t>
        </is>
      </c>
      <c r="M33" s="5" t="inlineStr">
        <is>
          <t>Share ke orang tuamu juga</t>
        </is>
      </c>
      <c r="N33" s="5" t="inlineStr">
        <is>
          <t>Wali Kelas</t>
        </is>
      </c>
      <c r="O33" s="4" t="inlineStr">
        <is>
          <t>Ide</t>
        </is>
      </c>
      <c r="P33" s="5" t="inlineStr"/>
    </row>
    <row r="34">
      <c r="A34" s="4" t="n">
        <v>30</v>
      </c>
      <c r="B34" s="4" t="n">
        <v>10</v>
      </c>
      <c r="C34" s="5" t="inlineStr">
        <is>
          <t>Sisa Semester 1 (Bonus)</t>
        </is>
      </c>
      <c r="D34" s="6" t="n">
        <v>46381</v>
      </c>
      <c r="E34" s="4" t="inlineStr">
        <is>
          <t>Jumat</t>
        </is>
      </c>
      <c r="F34" s="5" t="inlineStr">
        <is>
          <t>#JumatNgobrolBK</t>
        </is>
      </c>
      <c r="G34" s="5" t="inlineStr">
        <is>
          <t>Rapor &amp; Rumah</t>
        </is>
      </c>
      <c r="H34" s="5" t="inlineStr">
        <is>
          <t>Hari Ibu (22 Des); Penetapan &amp; Pembagian Rapor (23 Des); Natal (25 Des)</t>
        </is>
      </c>
      <c r="I34" s="10" t="inlineStr">
        <is>
          <t>Sosial</t>
        </is>
      </c>
      <c r="J34" s="4" t="inlineStr">
        <is>
          <t>Single Image</t>
        </is>
      </c>
      <c r="K34" s="8" t="inlineStr">
        <is>
          <t>Damai dalam Keberagaman: Selamat Hari Natal</t>
        </is>
      </c>
      <c r="L34" s="5" t="inlineStr">
        <is>
          <t>Ucapan Natal bagi yang merayakan • Pesan toleransi &amp; persaudaraan</t>
        </is>
      </c>
      <c r="M34" s="5" t="inlineStr">
        <is>
          <t>-</t>
        </is>
      </c>
      <c r="N34" s="5" t="inlineStr">
        <is>
          <t>-</t>
        </is>
      </c>
      <c r="O34" s="4" t="inlineStr">
        <is>
          <t>Ide</t>
        </is>
      </c>
      <c r="P34" s="5" t="inlineStr"/>
    </row>
    <row r="35">
      <c r="A35" s="4" t="n">
        <v>31</v>
      </c>
      <c r="B35" s="4" t="n">
        <v>11</v>
      </c>
      <c r="C35" s="5" t="inlineStr">
        <is>
          <t>Sisa Semester 1 (Bonus)</t>
        </is>
      </c>
      <c r="D35" s="6" t="n">
        <v>46384</v>
      </c>
      <c r="E35" s="4" t="inlineStr">
        <is>
          <t>Senin</t>
        </is>
      </c>
      <c r="F35" s="5" t="inlineStr">
        <is>
          <t>#SeninStarter</t>
        </is>
      </c>
      <c r="G35" s="5" t="inlineStr">
        <is>
          <t>Liburan Waras: Istirahat Tanpa Rasa Bersalah</t>
        </is>
      </c>
      <c r="H35" s="5" t="inlineStr">
        <is>
          <t>Libur Semester 1 (28–31 Des); Tahun Baru (1 Jan)</t>
        </is>
      </c>
      <c r="I35" s="9" t="inlineStr">
        <is>
          <t>Pribadi</t>
        </is>
      </c>
      <c r="J35" s="4" t="inlineStr">
        <is>
          <t>Reels</t>
        </is>
      </c>
      <c r="K35" s="8" t="inlineStr">
        <is>
          <t>Tantangan Digital Detox Ringan: 1 Jam Tanpa HP per Hari</t>
        </is>
      </c>
      <c r="L35" s="5" t="inlineStr">
        <is>
          <t>Kenapa otak butuh jeda dari layar • Ide aktivitas pengganti • Cara memulai: matikan notifikasi, taruh HP di ruangan lain</t>
        </is>
      </c>
      <c r="M35" s="5" t="inlineStr">
        <is>
          <t>Ikut tantangan &amp; laporan di story</t>
        </is>
      </c>
      <c r="N35" s="5" t="inlineStr">
        <is>
          <t>-</t>
        </is>
      </c>
      <c r="O35" s="4" t="inlineStr">
        <is>
          <t>Ide</t>
        </is>
      </c>
      <c r="P35" s="5" t="inlineStr"/>
    </row>
    <row r="36">
      <c r="A36" s="4" t="n">
        <v>32</v>
      </c>
      <c r="B36" s="4" t="n">
        <v>11</v>
      </c>
      <c r="C36" s="5" t="inlineStr">
        <is>
          <t>Sisa Semester 1 (Bonus)</t>
        </is>
      </c>
      <c r="D36" s="6" t="n">
        <v>46386</v>
      </c>
      <c r="E36" s="4" t="inlineStr">
        <is>
          <t>Rabu</t>
        </is>
      </c>
      <c r="F36" s="5" t="inlineStr">
        <is>
          <t>#RabuRuangAman</t>
        </is>
      </c>
      <c r="G36" s="5" t="inlineStr">
        <is>
          <t>Liburan Waras: Istirahat Tanpa Rasa Bersalah</t>
        </is>
      </c>
      <c r="H36" s="5" t="inlineStr">
        <is>
          <t>Libur Semester 1 (28–31 Des); Tahun Baru (1 Jan)</t>
        </is>
      </c>
      <c r="I36" s="7" t="inlineStr">
        <is>
          <t>Belajar</t>
        </is>
      </c>
      <c r="J36" s="4" t="inlineStr">
        <is>
          <t>Carousel</t>
        </is>
      </c>
      <c r="K36" s="8" t="inlineStr">
        <is>
          <t>7 Ide Liburan Produktif Versi Santai</t>
        </is>
      </c>
      <c r="L36" s="5" t="inlineStr">
        <is>
          <t>Kursus online gratis • Baca 1 buku • Belajar skill baru (desain, coding, masak) • Bantu usaha keluarga • Jadi relawan • Olahraga rutin • Istirahat itu juga produktif</t>
        </is>
      </c>
      <c r="M36" s="5" t="inlineStr">
        <is>
          <t>Ide mana yang mau kamu coba?</t>
        </is>
      </c>
      <c r="N36" s="5" t="inlineStr">
        <is>
          <t>-</t>
        </is>
      </c>
      <c r="O36" s="4" t="inlineStr">
        <is>
          <t>Ide</t>
        </is>
      </c>
      <c r="P36" s="5" t="inlineStr"/>
    </row>
    <row r="37">
      <c r="A37" s="4" t="n">
        <v>33</v>
      </c>
      <c r="B37" s="4" t="n">
        <v>11</v>
      </c>
      <c r="C37" s="5" t="inlineStr">
        <is>
          <t>Sisa Semester 1 (Bonus)</t>
        </is>
      </c>
      <c r="D37" s="6" t="n">
        <v>46388</v>
      </c>
      <c r="E37" s="4" t="inlineStr">
        <is>
          <t>Jumat</t>
        </is>
      </c>
      <c r="F37" s="5" t="inlineStr">
        <is>
          <t>#JumatNgobrolBK</t>
        </is>
      </c>
      <c r="G37" s="5" t="inlineStr">
        <is>
          <t>Liburan Waras: Istirahat Tanpa Rasa Bersalah</t>
        </is>
      </c>
      <c r="H37" s="5" t="inlineStr">
        <is>
          <t>Libur Semester 1 (28–31 Des); Tahun Baru (1 Jan)</t>
        </is>
      </c>
      <c r="I37" s="9" t="inlineStr">
        <is>
          <t>Pribadi</t>
        </is>
      </c>
      <c r="J37" s="4" t="inlineStr">
        <is>
          <t>Single Image</t>
        </is>
      </c>
      <c r="K37" s="8" t="inlineStr">
        <is>
          <t>Selamat Tahun Baru 2027! Satu Kata untuk Tahunmu?</t>
        </is>
      </c>
      <c r="L37" s="5" t="inlineStr">
        <is>
          <t>Visual tahun baru • Ajakan memilih satu kata (contoh: Tumbuh, Berani, Tenang)</t>
        </is>
      </c>
      <c r="M37" s="5" t="inlineStr">
        <is>
          <t>Tulis satu kata tahun 2027-mu di komentar</t>
        </is>
      </c>
      <c r="N37" s="5" t="inlineStr">
        <is>
          <t>-</t>
        </is>
      </c>
      <c r="O37" s="4" t="inlineStr">
        <is>
          <t>Ide</t>
        </is>
      </c>
      <c r="P37" s="5" t="inlineStr"/>
    </row>
    <row r="38">
      <c r="A38" s="4" t="n">
        <v>34</v>
      </c>
      <c r="B38" s="4" t="n">
        <v>12</v>
      </c>
      <c r="C38" s="5" t="inlineStr">
        <is>
          <t>Sisa Semester 1 (Bonus)</t>
        </is>
      </c>
      <c r="D38" s="6" t="n">
        <v>46391</v>
      </c>
      <c r="E38" s="4" t="inlineStr">
        <is>
          <t>Senin</t>
        </is>
      </c>
      <c r="F38" s="5" t="inlineStr">
        <is>
          <t>#SeninStarter</t>
        </is>
      </c>
      <c r="G38" s="5" t="inlineStr">
        <is>
          <t>Siapkan Diri untuk Semester Baru</t>
        </is>
      </c>
      <c r="H38" s="5" t="inlineStr">
        <is>
          <t>Libur Semester 1 (4–8 Jan); Isra Mi'raj (5 Jan)</t>
        </is>
      </c>
      <c r="I38" s="9" t="inlineStr">
        <is>
          <t>Pribadi</t>
        </is>
      </c>
      <c r="J38" s="4" t="inlineStr">
        <is>
          <t>Carousel</t>
        </is>
      </c>
      <c r="K38" s="8" t="inlineStr">
        <is>
          <t>Resolusi Sering Gagal? Coba SMART Goal + Kebiasaan Kecil</t>
        </is>
      </c>
      <c r="L38" s="5" t="inlineStr">
        <is>
          <t>Kenapa resolusi besar sering gagal • Rumus SMART • Mulai dari kebiasaan 2 menit • Tracking sederhana • Contoh resolusi belajar</t>
        </is>
      </c>
      <c r="M38" s="5" t="inlineStr">
        <is>
          <t>Tulis 1 resolusi SMART-mu</t>
        </is>
      </c>
      <c r="N38" s="5" t="inlineStr">
        <is>
          <t>-</t>
        </is>
      </c>
      <c r="O38" s="4" t="inlineStr">
        <is>
          <t>Ide</t>
        </is>
      </c>
      <c r="P38" s="5" t="inlineStr"/>
    </row>
    <row r="39">
      <c r="A39" s="4" t="n">
        <v>35</v>
      </c>
      <c r="B39" s="4" t="n">
        <v>12</v>
      </c>
      <c r="C39" s="5" t="inlineStr">
        <is>
          <t>Sisa Semester 1 (Bonus)</t>
        </is>
      </c>
      <c r="D39" s="6" t="n">
        <v>46393</v>
      </c>
      <c r="E39" s="4" t="inlineStr">
        <is>
          <t>Rabu</t>
        </is>
      </c>
      <c r="F39" s="5" t="inlineStr">
        <is>
          <t>#RabuRuangAman</t>
        </is>
      </c>
      <c r="G39" s="5" t="inlineStr">
        <is>
          <t>Siapkan Diri untuk Semester Baru</t>
        </is>
      </c>
      <c r="H39" s="5" t="inlineStr">
        <is>
          <t>Libur Semester 1 (4–8 Jan); Isra Mi'raj (5 Jan)</t>
        </is>
      </c>
      <c r="I39" s="9" t="inlineStr">
        <is>
          <t>Pribadi</t>
        </is>
      </c>
      <c r="J39" s="4" t="inlineStr">
        <is>
          <t>Single Image</t>
        </is>
      </c>
      <c r="K39" s="8" t="inlineStr">
        <is>
          <t>Isra Mi'raj: Jeda untuk Menenangkan Hati</t>
        </is>
      </c>
      <c r="L39" s="5" t="inlineStr">
        <is>
          <t>Ucapan Isra Mi'raj • Refleksi: ibadah sebagai jeda dari kesibukan &amp; sumber ketenangan</t>
        </is>
      </c>
      <c r="M39" s="5" t="inlineStr">
        <is>
          <t>-</t>
        </is>
      </c>
      <c r="N39" s="5" t="inlineStr">
        <is>
          <t>Rohis / Guru PAI</t>
        </is>
      </c>
      <c r="O39" s="4" t="inlineStr">
        <is>
          <t>Ide</t>
        </is>
      </c>
      <c r="P39" s="5" t="inlineStr"/>
    </row>
    <row r="40">
      <c r="A40" s="4" t="n">
        <v>36</v>
      </c>
      <c r="B40" s="4" t="n">
        <v>12</v>
      </c>
      <c r="C40" s="5" t="inlineStr">
        <is>
          <t>Sisa Semester 1 (Bonus)</t>
        </is>
      </c>
      <c r="D40" s="6" t="n">
        <v>46395</v>
      </c>
      <c r="E40" s="4" t="inlineStr">
        <is>
          <t>Jumat</t>
        </is>
      </c>
      <c r="F40" s="5" t="inlineStr">
        <is>
          <t>#JumatNgobrolBK</t>
        </is>
      </c>
      <c r="G40" s="5" t="inlineStr">
        <is>
          <t>Siapkan Diri untuk Semester Baru</t>
        </is>
      </c>
      <c r="H40" s="5" t="inlineStr">
        <is>
          <t>Libur Semester 1 (4–8 Jan); Isra Mi'raj (5 Jan)</t>
        </is>
      </c>
      <c r="I40" s="11" t="inlineStr">
        <is>
          <t>Karier</t>
        </is>
      </c>
      <c r="J40" s="4" t="inlineStr">
        <is>
          <t>Infografis</t>
        </is>
      </c>
      <c r="K40" s="8" t="inlineStr">
        <is>
          <t>Kelas XII: Timeline SNPMB 2027 yang Wajib Dipantau</t>
        </is>
      </c>
      <c r="L40" s="5" t="inlineStr">
        <is>
          <t>Registrasi akun SNPMB • SNBP (pendaftaran &amp; pengumuman) • UTBK-SNBT • Seleksi mandiri • Catatan: cek tanggal resmi di snpmb.id</t>
        </is>
      </c>
      <c r="M40" s="5" t="inlineStr">
        <is>
          <t>Save &amp; aktifkan pengingat</t>
        </is>
      </c>
      <c r="N40" s="5" t="inlineStr">
        <is>
          <t>Tim Info Karier BK</t>
        </is>
      </c>
      <c r="O40" s="4" t="inlineStr">
        <is>
          <t>Ide</t>
        </is>
      </c>
      <c r="P40" s="5" t="inlineStr"/>
    </row>
    <row r="41">
      <c r="A41" s="12" t="n">
        <v>37</v>
      </c>
      <c r="B41" s="12" t="n">
        <v>13</v>
      </c>
      <c r="C41" s="13" t="inlineStr">
        <is>
          <t>Semester 2</t>
        </is>
      </c>
      <c r="D41" s="14" t="n">
        <v>46398</v>
      </c>
      <c r="E41" s="12" t="inlineStr">
        <is>
          <t>Senin</t>
        </is>
      </c>
      <c r="F41" s="13" t="inlineStr">
        <is>
          <t>#SeninStarter</t>
        </is>
      </c>
      <c r="G41" s="13" t="inlineStr">
        <is>
          <t>Fresh Start Semester Genap</t>
        </is>
      </c>
      <c r="H41" s="13" t="inlineStr">
        <is>
          <t>Hari pertama Semester 2 (11 Jan)</t>
        </is>
      </c>
      <c r="I41" s="7" t="inlineStr">
        <is>
          <t>Belajar</t>
        </is>
      </c>
      <c r="J41" s="12" t="inlineStr">
        <is>
          <t>Reels</t>
        </is>
      </c>
      <c r="K41" s="15" t="inlineStr">
        <is>
          <t>Welcome Back! Reset Meja Belajar &amp; Mindset</t>
        </is>
      </c>
      <c r="L41" s="13" t="inlineStr">
        <is>
          <t>Before–after merapikan meja belajar • 3 hal yang disiapkan di awal semester • Pesan semangat dari guru BK</t>
        </is>
      </c>
      <c r="M41" s="13" t="inlineStr">
        <is>
          <t>Tunjukkan meja belajarmu di story &amp; tag kami</t>
        </is>
      </c>
      <c r="N41" s="13" t="inlineStr">
        <is>
          <t>OSIS</t>
        </is>
      </c>
      <c r="O41" s="12" t="inlineStr">
        <is>
          <t>Ide</t>
        </is>
      </c>
      <c r="P41" s="13" t="inlineStr"/>
    </row>
    <row r="42">
      <c r="A42" s="12" t="n">
        <v>38</v>
      </c>
      <c r="B42" s="12" t="n">
        <v>13</v>
      </c>
      <c r="C42" s="13" t="inlineStr">
        <is>
          <t>Semester 2</t>
        </is>
      </c>
      <c r="D42" s="14" t="n">
        <v>46400</v>
      </c>
      <c r="E42" s="12" t="inlineStr">
        <is>
          <t>Rabu</t>
        </is>
      </c>
      <c r="F42" s="13" t="inlineStr">
        <is>
          <t>#RabuRuangAman</t>
        </is>
      </c>
      <c r="G42" s="13" t="inlineStr">
        <is>
          <t>Fresh Start Semester Genap</t>
        </is>
      </c>
      <c r="H42" s="13" t="inlineStr">
        <is>
          <t>Hari pertama Semester 2 (11 Jan)</t>
        </is>
      </c>
      <c r="I42" s="7" t="inlineStr">
        <is>
          <t>Belajar</t>
        </is>
      </c>
      <c r="J42" s="12" t="inlineStr">
        <is>
          <t>Carousel</t>
        </is>
      </c>
      <c r="K42" s="15" t="inlineStr">
        <is>
          <t>Bikin Jadwal Belajar Mingguan dengan Time Blocking</t>
        </is>
      </c>
      <c r="L42" s="13" t="inlineStr">
        <is>
          <t>Apa itu time blocking • Tentukan blok wajib (sekolah, ibadah, tidur) • Isi blok belajar &amp; istirahat • Contoh jadwal siswa • Template kosong</t>
        </is>
      </c>
      <c r="M42" s="13" t="inlineStr">
        <is>
          <t>Download &amp; isi templatenya</t>
        </is>
      </c>
      <c r="N42" s="13" t="inlineStr">
        <is>
          <t>-</t>
        </is>
      </c>
      <c r="O42" s="12" t="inlineStr">
        <is>
          <t>Ide</t>
        </is>
      </c>
      <c r="P42" s="13" t="inlineStr"/>
    </row>
    <row r="43">
      <c r="A43" s="12" t="n">
        <v>39</v>
      </c>
      <c r="B43" s="12" t="n">
        <v>13</v>
      </c>
      <c r="C43" s="13" t="inlineStr">
        <is>
          <t>Semester 2</t>
        </is>
      </c>
      <c r="D43" s="14" t="n">
        <v>46402</v>
      </c>
      <c r="E43" s="12" t="inlineStr">
        <is>
          <t>Jumat</t>
        </is>
      </c>
      <c r="F43" s="13" t="inlineStr">
        <is>
          <t>#JumatNgobrolBK</t>
        </is>
      </c>
      <c r="G43" s="13" t="inlineStr">
        <is>
          <t>Fresh Start Semester Genap</t>
        </is>
      </c>
      <c r="H43" s="13" t="inlineStr">
        <is>
          <t>Hari pertama Semester 2 (11 Jan)</t>
        </is>
      </c>
      <c r="I43" s="10" t="inlineStr">
        <is>
          <t>Sosial</t>
        </is>
      </c>
      <c r="J43" s="12" t="inlineStr">
        <is>
          <t>Carousel</t>
        </is>
      </c>
      <c r="K43" s="15" t="inlineStr">
        <is>
          <t>Kenalan Lagi: Layanan BK Itu Ngapain Aja?</t>
        </is>
      </c>
      <c r="L43" s="13" t="inlineStr">
        <is>
          <t>Konseling individu &amp; kelompok • Bimbingan klasikal • Info karier &amp; kuliah • Kerahasiaan terjaga • Cara membuat janji (jam, lokasi, link form)</t>
        </is>
      </c>
      <c r="M43" s="13" t="inlineStr">
        <is>
          <t>Simpan postingan ini sebagai 'kontak darurat cerita'</t>
        </is>
      </c>
      <c r="N43" s="13" t="inlineStr">
        <is>
          <t>-</t>
        </is>
      </c>
      <c r="O43" s="12" t="inlineStr">
        <is>
          <t>Ide</t>
        </is>
      </c>
      <c r="P43" s="13" t="inlineStr"/>
    </row>
    <row r="44">
      <c r="A44" s="12" t="n">
        <v>40</v>
      </c>
      <c r="B44" s="12" t="n">
        <v>14</v>
      </c>
      <c r="C44" s="13" t="inlineStr">
        <is>
          <t>Semester 2</t>
        </is>
      </c>
      <c r="D44" s="14" t="n">
        <v>46405</v>
      </c>
      <c r="E44" s="12" t="inlineStr">
        <is>
          <t>Senin</t>
        </is>
      </c>
      <c r="F44" s="13" t="inlineStr">
        <is>
          <t>#SeninStarter</t>
        </is>
      </c>
      <c r="G44" s="13" t="inlineStr">
        <is>
          <t>Peta Jalan ke Kampus</t>
        </is>
      </c>
      <c r="H44" s="13" t="inlineStr">
        <is>
          <t>Masa registrasi akun SNPMB &amp; pengisian PDSS (perkiraan)</t>
        </is>
      </c>
      <c r="I44" s="11" t="inlineStr">
        <is>
          <t>Karier</t>
        </is>
      </c>
      <c r="J44" s="12" t="inlineStr">
        <is>
          <t>Carousel</t>
        </is>
      </c>
      <c r="K44" s="15" t="inlineStr">
        <is>
          <t>SNBP 101: Syarat, Alur, dan Kesalahan yang Sering Terjadi</t>
        </is>
      </c>
      <c r="L44" s="13" t="inlineStr">
        <is>
          <t>Siapa yang eligible • Alur registrasi &amp; pemilihan prodi • Pentingnya PDSS yang benar • Kesalahan umum (salah pilih prodi, telat daftar) • Cek info resmi snpmb.id</t>
        </is>
      </c>
      <c r="M44" s="13" t="inlineStr">
        <is>
          <t>Kirim pertanyaanmu di kotak Q&amp;A story</t>
        </is>
      </c>
      <c r="N44" s="13" t="inlineStr">
        <is>
          <t>Operator PDSS / Wakasek Kurikulum</t>
        </is>
      </c>
      <c r="O44" s="12" t="inlineStr">
        <is>
          <t>Ide</t>
        </is>
      </c>
      <c r="P44" s="13" t="inlineStr"/>
    </row>
    <row r="45">
      <c r="A45" s="12" t="n">
        <v>41</v>
      </c>
      <c r="B45" s="12" t="n">
        <v>14</v>
      </c>
      <c r="C45" s="13" t="inlineStr">
        <is>
          <t>Semester 2</t>
        </is>
      </c>
      <c r="D45" s="14" t="n">
        <v>46407</v>
      </c>
      <c r="E45" s="12" t="inlineStr">
        <is>
          <t>Rabu</t>
        </is>
      </c>
      <c r="F45" s="13" t="inlineStr">
        <is>
          <t>#RabuRuangAman</t>
        </is>
      </c>
      <c r="G45" s="13" t="inlineStr">
        <is>
          <t>Peta Jalan ke Kampus</t>
        </is>
      </c>
      <c r="H45" s="13" t="inlineStr">
        <is>
          <t>Masa registrasi akun SNPMB &amp; pengisian PDSS (perkiraan)</t>
        </is>
      </c>
      <c r="I45" s="9" t="inlineStr">
        <is>
          <t>Pribadi</t>
        </is>
      </c>
      <c r="J45" s="12" t="inlineStr">
        <is>
          <t>Carousel</t>
        </is>
      </c>
      <c r="K45" s="15" t="inlineStr">
        <is>
          <t>Keluar dari Comparison Trap Seangkatan</t>
        </is>
      </c>
      <c r="L45" s="13" t="inlineStr">
        <is>
          <t>Kenapa kita suka membandingkan diri • Media sosial menampilkan 'highlight' saja • Bandingkan dengan dirimu kemarin • Batasi akun pemicu • Rayakan progres kecil</t>
        </is>
      </c>
      <c r="M45" s="13" t="inlineStr">
        <is>
          <t>Siapa yang perlu baca ini? Tag dia</t>
        </is>
      </c>
      <c r="N45" s="13" t="inlineStr">
        <is>
          <t>-</t>
        </is>
      </c>
      <c r="O45" s="12" t="inlineStr">
        <is>
          <t>Ide</t>
        </is>
      </c>
      <c r="P45" s="13" t="inlineStr"/>
    </row>
    <row r="46">
      <c r="A46" s="12" t="n">
        <v>42</v>
      </c>
      <c r="B46" s="12" t="n">
        <v>14</v>
      </c>
      <c r="C46" s="13" t="inlineStr">
        <is>
          <t>Semester 2</t>
        </is>
      </c>
      <c r="D46" s="14" t="n">
        <v>46409</v>
      </c>
      <c r="E46" s="12" t="inlineStr">
        <is>
          <t>Jumat</t>
        </is>
      </c>
      <c r="F46" s="13" t="inlineStr">
        <is>
          <t>#JumatNgobrolBK</t>
        </is>
      </c>
      <c r="G46" s="13" t="inlineStr">
        <is>
          <t>Peta Jalan ke Kampus</t>
        </is>
      </c>
      <c r="H46" s="13" t="inlineStr">
        <is>
          <t>Masa registrasi akun SNPMB &amp; pengisian PDSS (perkiraan)</t>
        </is>
      </c>
      <c r="I46" s="11" t="inlineStr">
        <is>
          <t>Karier</t>
        </is>
      </c>
      <c r="J46" s="12" t="inlineStr">
        <is>
          <t>Reels</t>
        </is>
      </c>
      <c r="K46" s="15" t="inlineStr">
        <is>
          <t>Kata Alumni #1: Cerita Masuk PTN Lewat SNBP</t>
        </is>
      </c>
      <c r="L46" s="13" t="inlineStr">
        <is>
          <t>Wawancara singkat alumni: persiapan, pilih prodi, tantangan kuliah • Tips untuk adik kelas</t>
        </is>
      </c>
      <c r="M46" s="13" t="inlineStr">
        <is>
          <t>Tulis pertanyaan untuk alumni di komentar</t>
        </is>
      </c>
      <c r="N46" s="13" t="inlineStr">
        <is>
          <t>Alumni SMANRICI</t>
        </is>
      </c>
      <c r="O46" s="12" t="inlineStr">
        <is>
          <t>Ide</t>
        </is>
      </c>
      <c r="P46" s="13" t="inlineStr"/>
    </row>
    <row r="47">
      <c r="A47" s="12" t="n">
        <v>43</v>
      </c>
      <c r="B47" s="12" t="n">
        <v>15</v>
      </c>
      <c r="C47" s="13" t="inlineStr">
        <is>
          <t>Semester 2</t>
        </is>
      </c>
      <c r="D47" s="14" t="n">
        <v>46412</v>
      </c>
      <c r="E47" s="12" t="inlineStr">
        <is>
          <t>Senin</t>
        </is>
      </c>
      <c r="F47" s="13" t="inlineStr">
        <is>
          <t>#SeninStarter</t>
        </is>
      </c>
      <c r="G47" s="13" t="inlineStr">
        <is>
          <t>Sehat Fisik, Sehat Mental</t>
        </is>
      </c>
      <c r="H47" s="13" t="inlineStr">
        <is>
          <t>Hari Gizi Nasional (25 Jan); Hari Pendidikan Internasional (24 Jan)</t>
        </is>
      </c>
      <c r="I47" s="7" t="inlineStr">
        <is>
          <t>Belajar</t>
        </is>
      </c>
      <c r="J47" s="12" t="inlineStr">
        <is>
          <t>Infografis</t>
        </is>
      </c>
      <c r="K47" s="15" t="inlineStr">
        <is>
          <t>Sarapan &amp; Konsentrasi Belajar: Isi Piringku untuk Pelajar</t>
        </is>
      </c>
      <c r="L47" s="13" t="inlineStr">
        <is>
          <t>Hubungan sarapan &amp; fokus • Komposisi Isi Piringku • Ide sarapan murah &amp; cepat • Minum air cukup • Kurangi minuman tinggi gula</t>
        </is>
      </c>
      <c r="M47" s="13" t="inlineStr">
        <is>
          <t>Pamerkan sarapanmu di story!</t>
        </is>
      </c>
      <c r="N47" s="13" t="inlineStr">
        <is>
          <t>PMR / UKS / Puskesmas Cigalontang</t>
        </is>
      </c>
      <c r="O47" s="12" t="inlineStr">
        <is>
          <t>Ide</t>
        </is>
      </c>
      <c r="P47" s="13" t="inlineStr"/>
    </row>
    <row r="48">
      <c r="A48" s="12" t="n">
        <v>44</v>
      </c>
      <c r="B48" s="12" t="n">
        <v>15</v>
      </c>
      <c r="C48" s="13" t="inlineStr">
        <is>
          <t>Semester 2</t>
        </is>
      </c>
      <c r="D48" s="14" t="n">
        <v>46414</v>
      </c>
      <c r="E48" s="12" t="inlineStr">
        <is>
          <t>Rabu</t>
        </is>
      </c>
      <c r="F48" s="13" t="inlineStr">
        <is>
          <t>#RabuRuangAman</t>
        </is>
      </c>
      <c r="G48" s="13" t="inlineStr">
        <is>
          <t>Sehat Fisik, Sehat Mental</t>
        </is>
      </c>
      <c r="H48" s="13" t="inlineStr">
        <is>
          <t>Hari Gizi Nasional (25 Jan); Hari Pendidikan Internasional (24 Jan)</t>
        </is>
      </c>
      <c r="I48" s="9" t="inlineStr">
        <is>
          <t>Pribadi</t>
        </is>
      </c>
      <c r="J48" s="12" t="inlineStr">
        <is>
          <t>Carousel</t>
        </is>
      </c>
      <c r="K48" s="15" t="inlineStr">
        <is>
          <t>Begadang Demi Scroll? Kenali Revenge Bedtime Procrastination</t>
        </is>
      </c>
      <c r="L48" s="13" t="inlineStr">
        <is>
          <t>Apa itu &amp; kenapa terjadi • Dampak ke mood, fokus, kesehatan mental • 'Brain rot' akibat konten tanpa henti • Tips: jam berhenti layar, mode fokus, ritual tidur</t>
        </is>
      </c>
      <c r="M48" s="13" t="inlineStr">
        <is>
          <t>Jam berapa biasanya kamu menaruh HP?</t>
        </is>
      </c>
      <c r="N48" s="13" t="inlineStr">
        <is>
          <t>-</t>
        </is>
      </c>
      <c r="O48" s="12" t="inlineStr">
        <is>
          <t>Ide</t>
        </is>
      </c>
      <c r="P48" s="13" t="inlineStr"/>
    </row>
    <row r="49">
      <c r="A49" s="12" t="n">
        <v>45</v>
      </c>
      <c r="B49" s="12" t="n">
        <v>15</v>
      </c>
      <c r="C49" s="13" t="inlineStr">
        <is>
          <t>Semester 2</t>
        </is>
      </c>
      <c r="D49" s="14" t="n">
        <v>46416</v>
      </c>
      <c r="E49" s="12" t="inlineStr">
        <is>
          <t>Jumat</t>
        </is>
      </c>
      <c r="F49" s="13" t="inlineStr">
        <is>
          <t>#JumatNgobrolBK</t>
        </is>
      </c>
      <c r="G49" s="13" t="inlineStr">
        <is>
          <t>Sehat Fisik, Sehat Mental</t>
        </is>
      </c>
      <c r="H49" s="13" t="inlineStr">
        <is>
          <t>Hari Gizi Nasional (25 Jan); Hari Pendidikan Internasional (24 Jan)</t>
        </is>
      </c>
      <c r="I49" s="9" t="inlineStr">
        <is>
          <t>Pribadi</t>
        </is>
      </c>
      <c r="J49" s="12" t="inlineStr">
        <is>
          <t>Reels</t>
        </is>
      </c>
      <c r="K49" s="15" t="inlineStr">
        <is>
          <t>Peregangan 60 Detik di Sela Belajar</t>
        </is>
      </c>
      <c r="L49" s="13" t="inlineStr">
        <is>
          <t>Gerakan leher, bahu, punggung, mata (aturan 20-20-20) • Dipandu guru PJOK/siswa</t>
        </is>
      </c>
      <c r="M49" s="13" t="inlineStr">
        <is>
          <t>Ikuti gerakannya &amp; tag teman sebangku</t>
        </is>
      </c>
      <c r="N49" s="13" t="inlineStr">
        <is>
          <t>Guru PJOK</t>
        </is>
      </c>
      <c r="O49" s="12" t="inlineStr">
        <is>
          <t>Ide</t>
        </is>
      </c>
      <c r="P49" s="13" t="inlineStr"/>
    </row>
    <row r="50">
      <c r="A50" s="12" t="n">
        <v>46</v>
      </c>
      <c r="B50" s="12" t="n">
        <v>16</v>
      </c>
      <c r="C50" s="13" t="inlineStr">
        <is>
          <t>Semester 2</t>
        </is>
      </c>
      <c r="D50" s="14" t="n">
        <v>46419</v>
      </c>
      <c r="E50" s="12" t="inlineStr">
        <is>
          <t>Senin</t>
        </is>
      </c>
      <c r="F50" s="13" t="inlineStr">
        <is>
          <t>#SeninStarter</t>
        </is>
      </c>
      <c r="G50" s="13" t="inlineStr">
        <is>
          <t>Pilih Prodi, Bukan Sekadar Gengsi</t>
        </is>
      </c>
      <c r="H50" s="13" t="inlineStr">
        <is>
          <t>Masa pendaftaran SNBP (perkiraan); Tahun Baru Imlek (6 Feb)</t>
        </is>
      </c>
      <c r="I50" s="11" t="inlineStr">
        <is>
          <t>Karier</t>
        </is>
      </c>
      <c r="J50" s="12" t="inlineStr">
        <is>
          <t>Carousel</t>
        </is>
      </c>
      <c r="K50" s="15" t="inlineStr">
        <is>
          <t>Cara Memilih Prodi: Minat × Kemampuan × Peluang</t>
        </is>
      </c>
      <c r="L50" s="13" t="inlineStr">
        <is>
          <t>Kenali minat (hasil RIASEC/AKPD) • Cek kemampuan (nilai rapor mapel pendukung) • Riset peluang kerja &amp; daya tampung • Konsep Ikigai sederhana • Konsultasi BK</t>
        </is>
      </c>
      <c r="M50" s="13" t="inlineStr">
        <is>
          <t>Prodi impianmu apa? Komen!</t>
        </is>
      </c>
      <c r="N50" s="13" t="inlineStr">
        <is>
          <t>-</t>
        </is>
      </c>
      <c r="O50" s="12" t="inlineStr">
        <is>
          <t>Ide</t>
        </is>
      </c>
      <c r="P50" s="13" t="inlineStr"/>
    </row>
    <row r="51">
      <c r="A51" s="12" t="n">
        <v>47</v>
      </c>
      <c r="B51" s="12" t="n">
        <v>16</v>
      </c>
      <c r="C51" s="13" t="inlineStr">
        <is>
          <t>Semester 2</t>
        </is>
      </c>
      <c r="D51" s="14" t="n">
        <v>46421</v>
      </c>
      <c r="E51" s="12" t="inlineStr">
        <is>
          <t>Rabu</t>
        </is>
      </c>
      <c r="F51" s="13" t="inlineStr">
        <is>
          <t>#RabuRuangAman</t>
        </is>
      </c>
      <c r="G51" s="13" t="inlineStr">
        <is>
          <t>Pilih Prodi, Bukan Sekadar Gengsi</t>
        </is>
      </c>
      <c r="H51" s="13" t="inlineStr">
        <is>
          <t>Masa pendaftaran SNBP (perkiraan); Tahun Baru Imlek (6 Feb)</t>
        </is>
      </c>
      <c r="I51" s="10" t="inlineStr">
        <is>
          <t>Sosial</t>
        </is>
      </c>
      <c r="J51" s="12" t="inlineStr">
        <is>
          <t>Carousel</t>
        </is>
      </c>
      <c r="K51" s="15" t="inlineStr">
        <is>
          <t>Beda Pilihan Kuliah dengan Orang Tua? Begini Diskusinya</t>
        </is>
      </c>
      <c r="L51" s="13" t="inlineStr">
        <is>
          <t>Pahami alasan orang tua • Siapkan data (prodi, biaya, prospek) • Pilih waktu &amp; bahasa yang tepat • Cari jalan tengah • Ajak BK sebagai mediator</t>
        </is>
      </c>
      <c r="M51" s="13" t="inlineStr">
        <is>
          <t>Share ke orang tuamu juga</t>
        </is>
      </c>
      <c r="N51" s="13" t="inlineStr">
        <is>
          <t>Orang tua / Komite Sekolah</t>
        </is>
      </c>
      <c r="O51" s="12" t="inlineStr">
        <is>
          <t>Ide</t>
        </is>
      </c>
      <c r="P51" s="13" t="inlineStr"/>
    </row>
    <row r="52">
      <c r="A52" s="12" t="n">
        <v>48</v>
      </c>
      <c r="B52" s="12" t="n">
        <v>16</v>
      </c>
      <c r="C52" s="13" t="inlineStr">
        <is>
          <t>Semester 2</t>
        </is>
      </c>
      <c r="D52" s="14" t="n">
        <v>46423</v>
      </c>
      <c r="E52" s="12" t="inlineStr">
        <is>
          <t>Jumat</t>
        </is>
      </c>
      <c r="F52" s="13" t="inlineStr">
        <is>
          <t>#JumatNgobrolBK</t>
        </is>
      </c>
      <c r="G52" s="13" t="inlineStr">
        <is>
          <t>Pilih Prodi, Bukan Sekadar Gengsi</t>
        </is>
      </c>
      <c r="H52" s="13" t="inlineStr">
        <is>
          <t>Masa pendaftaran SNBP (perkiraan); Tahun Baru Imlek (6 Feb)</t>
        </is>
      </c>
      <c r="I52" s="11" t="inlineStr">
        <is>
          <t>Karier</t>
        </is>
      </c>
      <c r="J52" s="12" t="inlineStr">
        <is>
          <t>Reels</t>
        </is>
      </c>
      <c r="K52" s="15" t="inlineStr">
        <is>
          <t>Mitos vs Fakta Jurusan Kuliah</t>
        </is>
      </c>
      <c r="L52" s="13" t="inlineStr">
        <is>
          <t>Format cepat 'Mitos/Fakta': 'Jurusan sosial susah kerja', 'Harus IPA untuk kedokteran', dst. • Diluruskan dengan data singkat</t>
        </is>
      </c>
      <c r="M52" s="13" t="inlineStr">
        <is>
          <t>Mitos apa lagi yang pernah kamu dengar?</t>
        </is>
      </c>
      <c r="N52" s="13" t="inlineStr">
        <is>
          <t>Alumni / mahasiswa</t>
        </is>
      </c>
      <c r="O52" s="12" t="inlineStr">
        <is>
          <t>Ide</t>
        </is>
      </c>
      <c r="P52" s="13" t="inlineStr"/>
    </row>
    <row r="53">
      <c r="A53" s="12" t="n">
        <v>49</v>
      </c>
      <c r="B53" s="12" t="n">
        <v>17</v>
      </c>
      <c r="C53" s="13" t="inlineStr">
        <is>
          <t>Semester 2</t>
        </is>
      </c>
      <c r="D53" s="14" t="n">
        <v>46426</v>
      </c>
      <c r="E53" s="12" t="inlineStr">
        <is>
          <t>Senin</t>
        </is>
      </c>
      <c r="F53" s="13" t="inlineStr">
        <is>
          <t>#SeninStarter</t>
        </is>
      </c>
      <c r="G53" s="13" t="inlineStr">
        <is>
          <t>Ramadan &amp; Digital Wellbeing</t>
        </is>
      </c>
      <c r="H53" s="13" t="inlineStr">
        <is>
          <t>Libur awal Ramadan (8–12 Feb); Safer Internet Day (9 Feb)</t>
        </is>
      </c>
      <c r="I53" s="9" t="inlineStr">
        <is>
          <t>Pribadi</t>
        </is>
      </c>
      <c r="J53" s="12" t="inlineStr">
        <is>
          <t>Single Image</t>
        </is>
      </c>
      <c r="K53" s="15" t="inlineStr">
        <is>
          <t>Marhaban ya Ramadan: Apa Target Ramadan-mu?</t>
        </is>
      </c>
      <c r="L53" s="13" t="inlineStr">
        <is>
          <t>Ucapan Ramadan 1448 H • Mohon maaf lahir batin dari Tim BK • Ajak menulis 1 target ibadah &amp; 1 target diri</t>
        </is>
      </c>
      <c r="M53" s="13" t="inlineStr">
        <is>
          <t>Tulis targetmu di komentar</t>
        </is>
      </c>
      <c r="N53" s="13" t="inlineStr">
        <is>
          <t>Rohis</t>
        </is>
      </c>
      <c r="O53" s="12" t="inlineStr">
        <is>
          <t>Ide</t>
        </is>
      </c>
      <c r="P53" s="13" t="inlineStr"/>
    </row>
    <row r="54">
      <c r="A54" s="12" t="n">
        <v>50</v>
      </c>
      <c r="B54" s="12" t="n">
        <v>17</v>
      </c>
      <c r="C54" s="13" t="inlineStr">
        <is>
          <t>Semester 2</t>
        </is>
      </c>
      <c r="D54" s="14" t="n">
        <v>46428</v>
      </c>
      <c r="E54" s="12" t="inlineStr">
        <is>
          <t>Rabu</t>
        </is>
      </c>
      <c r="F54" s="13" t="inlineStr">
        <is>
          <t>#RabuRuangAman</t>
        </is>
      </c>
      <c r="G54" s="13" t="inlineStr">
        <is>
          <t>Ramadan &amp; Digital Wellbeing</t>
        </is>
      </c>
      <c r="H54" s="13" t="inlineStr">
        <is>
          <t>Libur awal Ramadan (8–12 Feb); Safer Internet Day (9 Feb)</t>
        </is>
      </c>
      <c r="I54" s="10" t="inlineStr">
        <is>
          <t>Sosial</t>
        </is>
      </c>
      <c r="J54" s="12" t="inlineStr">
        <is>
          <t>Carousel</t>
        </is>
      </c>
      <c r="K54" s="15" t="inlineStr">
        <is>
          <t>Waspada Sextortion &amp; Grooming Online</t>
        </is>
      </c>
      <c r="L54" s="13" t="inlineStr">
        <is>
          <t>Modus umum (kenalan baru, minta foto, ancaman) • Tanda bahaya (red flag) • Jangan kirim, jangan bayar, simpan bukti • Lapor: orang tua, BK, SAPA 129 • Kamu bukan yang salah</t>
        </is>
      </c>
      <c r="M54" s="13" t="inlineStr">
        <is>
          <t>Share agar temanmu terlindungi</t>
        </is>
      </c>
      <c r="N54" s="13" t="inlineStr">
        <is>
          <t>TPPK / Polsek Cigalontang (opsional)</t>
        </is>
      </c>
      <c r="O54" s="12" t="inlineStr">
        <is>
          <t>Ide</t>
        </is>
      </c>
      <c r="P54" s="13" t="inlineStr"/>
    </row>
    <row r="55">
      <c r="A55" s="12" t="n">
        <v>51</v>
      </c>
      <c r="B55" s="12" t="n">
        <v>17</v>
      </c>
      <c r="C55" s="13" t="inlineStr">
        <is>
          <t>Semester 2</t>
        </is>
      </c>
      <c r="D55" s="14" t="n">
        <v>46430</v>
      </c>
      <c r="E55" s="12" t="inlineStr">
        <is>
          <t>Jumat</t>
        </is>
      </c>
      <c r="F55" s="13" t="inlineStr">
        <is>
          <t>#JumatNgobrolBK</t>
        </is>
      </c>
      <c r="G55" s="13" t="inlineStr">
        <is>
          <t>Ramadan &amp; Digital Wellbeing</t>
        </is>
      </c>
      <c r="H55" s="13" t="inlineStr">
        <is>
          <t>Libur awal Ramadan (8–12 Feb); Safer Internet Day (9 Feb)</t>
        </is>
      </c>
      <c r="I55" s="9" t="inlineStr">
        <is>
          <t>Pribadi</t>
        </is>
      </c>
      <c r="J55" s="12" t="inlineStr">
        <is>
          <t>Carousel</t>
        </is>
      </c>
      <c r="K55" s="15" t="inlineStr">
        <is>
          <t>Judi Online Menyamar Jadi Game: Kenali &amp; Tolak</t>
        </is>
      </c>
      <c r="L55" s="13" t="inlineStr">
        <is>
          <t>Bentuk judol yang menyasar remaja (slot, 'top up' berhadiah) • Kenapa bikin ketagihan • Dampak: utang, konflik, kecemasan • Cara menolak ajakan • Cari bantuan</t>
        </is>
      </c>
      <c r="M55" s="13" t="inlineStr">
        <is>
          <t>Kenal teman yang terjebak? Ajak bicara ke BK</t>
        </is>
      </c>
      <c r="N55" s="13" t="inlineStr">
        <is>
          <t>-</t>
        </is>
      </c>
      <c r="O55" s="12" t="inlineStr">
        <is>
          <t>Ide</t>
        </is>
      </c>
      <c r="P55" s="13" t="inlineStr"/>
    </row>
    <row r="56">
      <c r="A56" s="12" t="n">
        <v>52</v>
      </c>
      <c r="B56" s="12" t="n">
        <v>18</v>
      </c>
      <c r="C56" s="13" t="inlineStr">
        <is>
          <t>Semester 2</t>
        </is>
      </c>
      <c r="D56" s="14" t="n">
        <v>46433</v>
      </c>
      <c r="E56" s="12" t="inlineStr">
        <is>
          <t>Senin</t>
        </is>
      </c>
      <c r="F56" s="13" t="inlineStr">
        <is>
          <t>#SeninStarter</t>
        </is>
      </c>
      <c r="G56" s="13" t="inlineStr">
        <is>
          <t>Ramadan Produktif &amp; Hubungan Sehat</t>
        </is>
      </c>
      <c r="H56" s="13" t="inlineStr">
        <is>
          <t>Masuk sekolah selama Ramadan; pasca-Valentine (14 Feb)</t>
        </is>
      </c>
      <c r="I56" s="7" t="inlineStr">
        <is>
          <t>Belajar</t>
        </is>
      </c>
      <c r="J56" s="12" t="inlineStr">
        <is>
          <t>Infografis</t>
        </is>
      </c>
      <c r="K56" s="15" t="inlineStr">
        <is>
          <t>Jadwal Belajar Saat Puasa: Kapan Otak Paling Fokus?</t>
        </is>
      </c>
      <c r="L56" s="13" t="inlineStr">
        <is>
          <t>Setelah sahur: materi berat • Siang: review ringan • Menjelang buka: istirahat • Setelah tarawih: latihan soal singkat • Tidur cukup</t>
        </is>
      </c>
      <c r="M56" s="13" t="inlineStr">
        <is>
          <t>Save jadwalnya</t>
        </is>
      </c>
      <c r="N56" s="13" t="inlineStr">
        <is>
          <t>-</t>
        </is>
      </c>
      <c r="O56" s="12" t="inlineStr">
        <is>
          <t>Ide</t>
        </is>
      </c>
      <c r="P56" s="13" t="inlineStr"/>
    </row>
    <row r="57">
      <c r="A57" s="12" t="n">
        <v>53</v>
      </c>
      <c r="B57" s="12" t="n">
        <v>18</v>
      </c>
      <c r="C57" s="13" t="inlineStr">
        <is>
          <t>Semester 2</t>
        </is>
      </c>
      <c r="D57" s="14" t="n">
        <v>46435</v>
      </c>
      <c r="E57" s="12" t="inlineStr">
        <is>
          <t>Rabu</t>
        </is>
      </c>
      <c r="F57" s="13" t="inlineStr">
        <is>
          <t>#RabuRuangAman</t>
        </is>
      </c>
      <c r="G57" s="13" t="inlineStr">
        <is>
          <t>Ramadan Produktif &amp; Hubungan Sehat</t>
        </is>
      </c>
      <c r="H57" s="13" t="inlineStr">
        <is>
          <t>Masuk sekolah selama Ramadan; pasca-Valentine (14 Feb)</t>
        </is>
      </c>
      <c r="I57" s="10" t="inlineStr">
        <is>
          <t>Sosial</t>
        </is>
      </c>
      <c r="J57" s="12" t="inlineStr">
        <is>
          <t>Carousel</t>
        </is>
      </c>
      <c r="K57" s="15" t="inlineStr">
        <is>
          <t>Red Flag vs Green Flag dalam Pertemanan &amp; Pacaran</t>
        </is>
      </c>
      <c r="L57" s="13" t="inlineStr">
        <is>
          <t>Red flag: posesif, cek HP, merendahkan, memaksa • Green flag: menghargai batasan, mendukung, jujur • Hubungan sehat = aman &amp; setara • Cara keluar dari hubungan tidak sehat • BK siap mendengar</t>
        </is>
      </c>
      <c r="M57" s="13" t="inlineStr">
        <is>
          <t>Komen 1 green flag menurutmu</t>
        </is>
      </c>
      <c r="N57" s="13" t="inlineStr">
        <is>
          <t>-</t>
        </is>
      </c>
      <c r="O57" s="12" t="inlineStr">
        <is>
          <t>Ide</t>
        </is>
      </c>
      <c r="P57" s="13" t="inlineStr"/>
    </row>
    <row r="58">
      <c r="A58" s="12" t="n">
        <v>54</v>
      </c>
      <c r="B58" s="12" t="n">
        <v>18</v>
      </c>
      <c r="C58" s="13" t="inlineStr">
        <is>
          <t>Semester 2</t>
        </is>
      </c>
      <c r="D58" s="14" t="n">
        <v>46437</v>
      </c>
      <c r="E58" s="12" t="inlineStr">
        <is>
          <t>Jumat</t>
        </is>
      </c>
      <c r="F58" s="13" t="inlineStr">
        <is>
          <t>#JumatNgobrolBK</t>
        </is>
      </c>
      <c r="G58" s="13" t="inlineStr">
        <is>
          <t>Ramadan Produktif &amp; Hubungan Sehat</t>
        </is>
      </c>
      <c r="H58" s="13" t="inlineStr">
        <is>
          <t>Masuk sekolah selama Ramadan; pasca-Valentine (14 Feb)</t>
        </is>
      </c>
      <c r="I58" s="10" t="inlineStr">
        <is>
          <t>Sosial</t>
        </is>
      </c>
      <c r="J58" s="12" t="inlineStr">
        <is>
          <t>Reels</t>
        </is>
      </c>
      <c r="K58" s="15" t="inlineStr">
        <is>
          <t>Ngabuburit Positif ala SMANRICI</t>
        </is>
      </c>
      <c r="L58" s="13" t="inlineStr">
        <is>
          <t>Montase kegiatan: tadarus, berbagi takjil, olahraga ringan, bantu orang tua • Ajak ide ngabuburit sehat</t>
        </is>
      </c>
      <c r="M58" s="13" t="inlineStr">
        <is>
          <t>Ngabuburitmu ngapain? Share di story</t>
        </is>
      </c>
      <c r="N58" s="13" t="inlineStr">
        <is>
          <t>Rohis &amp; OSIS</t>
        </is>
      </c>
      <c r="O58" s="12" t="inlineStr">
        <is>
          <t>Ide</t>
        </is>
      </c>
      <c r="P58" s="13" t="inlineStr"/>
    </row>
    <row r="59">
      <c r="A59" s="12" t="n">
        <v>55</v>
      </c>
      <c r="B59" s="12" t="n">
        <v>19</v>
      </c>
      <c r="C59" s="13" t="inlineStr">
        <is>
          <t>Semester 2</t>
        </is>
      </c>
      <c r="D59" s="14" t="n">
        <v>46440</v>
      </c>
      <c r="E59" s="12" t="inlineStr">
        <is>
          <t>Senin</t>
        </is>
      </c>
      <c r="F59" s="13" t="inlineStr">
        <is>
          <t>#SeninStarter</t>
        </is>
      </c>
      <c r="G59" s="13" t="inlineStr">
        <is>
          <t>Hati Tenang, Pikiran Jernih</t>
        </is>
      </c>
      <c r="H59" s="13" t="inlineStr">
        <is>
          <t>Pesantren Ramadan (24–27 Feb)</t>
        </is>
      </c>
      <c r="I59" s="9" t="inlineStr">
        <is>
          <t>Pribadi</t>
        </is>
      </c>
      <c r="J59" s="12" t="inlineStr">
        <is>
          <t>Carousel</t>
        </is>
      </c>
      <c r="K59" s="15" t="inlineStr">
        <is>
          <t>Syukur sebagai Penawar Overthinking: Jurnal 3 Hal Baik</t>
        </is>
      </c>
      <c r="L59" s="13" t="inlineStr">
        <is>
          <t>Apa itu jurnal syukur • Manfaat menurut riset psikologi positif • Cara memulai (3 hal baik + alasannya) • Contoh tulisan siswa</t>
        </is>
      </c>
      <c r="M59" s="13" t="inlineStr">
        <is>
          <t>Coba tulis 3 hal baik hari ini di komentar</t>
        </is>
      </c>
      <c r="N59" s="13" t="inlineStr">
        <is>
          <t>-</t>
        </is>
      </c>
      <c r="O59" s="12" t="inlineStr">
        <is>
          <t>Ide</t>
        </is>
      </c>
      <c r="P59" s="13" t="inlineStr"/>
    </row>
    <row r="60">
      <c r="A60" s="12" t="n">
        <v>56</v>
      </c>
      <c r="B60" s="12" t="n">
        <v>19</v>
      </c>
      <c r="C60" s="13" t="inlineStr">
        <is>
          <t>Semester 2</t>
        </is>
      </c>
      <c r="D60" s="14" t="n">
        <v>46442</v>
      </c>
      <c r="E60" s="12" t="inlineStr">
        <is>
          <t>Rabu</t>
        </is>
      </c>
      <c r="F60" s="13" t="inlineStr">
        <is>
          <t>#RabuRuangAman</t>
        </is>
      </c>
      <c r="G60" s="13" t="inlineStr">
        <is>
          <t>Hati Tenang, Pikiran Jernih</t>
        </is>
      </c>
      <c r="H60" s="13" t="inlineStr">
        <is>
          <t>Pesantren Ramadan (24–27 Feb)</t>
        </is>
      </c>
      <c r="I60" s="10" t="inlineStr">
        <is>
          <t>Sosial</t>
        </is>
      </c>
      <c r="J60" s="12" t="inlineStr">
        <is>
          <t>Reels</t>
        </is>
      </c>
      <c r="K60" s="15" t="inlineStr">
        <is>
          <t>Kebersamaan di Pesantren Ramadan</t>
        </is>
      </c>
      <c r="L60" s="13" t="inlineStr">
        <is>
          <t>Dokumentasi kegiatan (tanpa menampilkan wajah tanpa izin) • Kutipan refleksi siswa &amp; guru</t>
        </is>
      </c>
      <c r="M60" s="13" t="inlineStr">
        <is>
          <t>Momen favoritmu di pesantren?</t>
        </is>
      </c>
      <c r="N60" s="13" t="inlineStr">
        <is>
          <t>Rohis &amp; Guru PAI</t>
        </is>
      </c>
      <c r="O60" s="12" t="inlineStr">
        <is>
          <t>Ide</t>
        </is>
      </c>
      <c r="P60" s="13" t="inlineStr"/>
    </row>
    <row r="61">
      <c r="A61" s="12" t="n">
        <v>57</v>
      </c>
      <c r="B61" s="12" t="n">
        <v>19</v>
      </c>
      <c r="C61" s="13" t="inlineStr">
        <is>
          <t>Semester 2</t>
        </is>
      </c>
      <c r="D61" s="14" t="n">
        <v>46444</v>
      </c>
      <c r="E61" s="12" t="inlineStr">
        <is>
          <t>Jumat</t>
        </is>
      </c>
      <c r="F61" s="13" t="inlineStr">
        <is>
          <t>#JumatNgobrolBK</t>
        </is>
      </c>
      <c r="G61" s="13" t="inlineStr">
        <is>
          <t>Hati Tenang, Pikiran Jernih</t>
        </is>
      </c>
      <c r="H61" s="13" t="inlineStr">
        <is>
          <t>Pesantren Ramadan (24–27 Feb)</t>
        </is>
      </c>
      <c r="I61" s="11" t="inlineStr">
        <is>
          <t>Karier</t>
        </is>
      </c>
      <c r="J61" s="12" t="inlineStr">
        <is>
          <t>Carousel</t>
        </is>
      </c>
      <c r="K61" s="15" t="inlineStr">
        <is>
          <t>Kelas XII: Siapkan Plan A–B–C Setelah SMA</t>
        </is>
      </c>
      <c r="L61" s="13" t="inlineStr">
        <is>
          <t>Plan A: SNBP • Plan B: UTBK-SNBT • Plan C: mandiri/PTS/kedinasan/kerja • Tabel perbandingan jadwal &amp; biaya • Pentingnya rencana cadangan</t>
        </is>
      </c>
      <c r="M61" s="13" t="inlineStr">
        <is>
          <t>Sudah punya Plan B? Komen 'sudah' / 'belum'</t>
        </is>
      </c>
      <c r="N61" s="13" t="inlineStr">
        <is>
          <t>-</t>
        </is>
      </c>
      <c r="O61" s="12" t="inlineStr">
        <is>
          <t>Ide</t>
        </is>
      </c>
      <c r="P61" s="13" t="inlineStr"/>
    </row>
    <row r="62">
      <c r="A62" s="12" t="n">
        <v>58</v>
      </c>
      <c r="B62" s="12" t="n">
        <v>20</v>
      </c>
      <c r="C62" s="13" t="inlineStr">
        <is>
          <t>Semester 2</t>
        </is>
      </c>
      <c r="D62" s="14" t="n">
        <v>46447</v>
      </c>
      <c r="E62" s="12" t="inlineStr">
        <is>
          <t>Senin</t>
        </is>
      </c>
      <c r="F62" s="13" t="inlineStr">
        <is>
          <t>#SeninStarter</t>
        </is>
      </c>
      <c r="G62" s="13" t="inlineStr">
        <is>
          <t>Fokus Akhir Jenjang</t>
        </is>
      </c>
      <c r="H62" s="13" t="inlineStr">
        <is>
          <t>ASAJ kelas XII (1–5 Mar); Pesantren Ramadan (1–5 Mar)</t>
        </is>
      </c>
      <c r="I62" s="7" t="inlineStr">
        <is>
          <t>Belajar</t>
        </is>
      </c>
      <c r="J62" s="12" t="inlineStr">
        <is>
          <t>Single Image</t>
        </is>
      </c>
      <c r="K62" s="15" t="inlineStr">
        <is>
          <t>Semangat ASAJ, Kelas XII! Kamu Sudah Sejauh Ini</t>
        </is>
      </c>
      <c r="L62" s="13" t="inlineStr">
        <is>
          <t>Quote penyemangat • Pengingat: jujur, tidur cukup, sahur bergizi</t>
        </is>
      </c>
      <c r="M62" s="13" t="inlineStr">
        <is>
          <t>Tag teman seperjuanganmu</t>
        </is>
      </c>
      <c r="N62" s="13" t="inlineStr">
        <is>
          <t>-</t>
        </is>
      </c>
      <c r="O62" s="12" t="inlineStr">
        <is>
          <t>Ide</t>
        </is>
      </c>
      <c r="P62" s="13" t="inlineStr"/>
    </row>
    <row r="63">
      <c r="A63" s="12" t="n">
        <v>59</v>
      </c>
      <c r="B63" s="12" t="n">
        <v>20</v>
      </c>
      <c r="C63" s="13" t="inlineStr">
        <is>
          <t>Semester 2</t>
        </is>
      </c>
      <c r="D63" s="14" t="n">
        <v>46449</v>
      </c>
      <c r="E63" s="12" t="inlineStr">
        <is>
          <t>Rabu</t>
        </is>
      </c>
      <c r="F63" s="13" t="inlineStr">
        <is>
          <t>#RabuRuangAman</t>
        </is>
      </c>
      <c r="G63" s="13" t="inlineStr">
        <is>
          <t>Fokus Akhir Jenjang</t>
        </is>
      </c>
      <c r="H63" s="13" t="inlineStr">
        <is>
          <t>ASAJ kelas XII (1–5 Mar); Pesantren Ramadan (1–5 Mar)</t>
        </is>
      </c>
      <c r="I63" s="7" t="inlineStr">
        <is>
          <t>Belajar</t>
        </is>
      </c>
      <c r="J63" s="12" t="inlineStr">
        <is>
          <t>Reels</t>
        </is>
      </c>
      <c r="K63" s="15" t="inlineStr">
        <is>
          <t>Active Recall &amp; Spaced Repetition: Belajar Lebih Sedikit, Ingat Lebih Lama</t>
        </is>
      </c>
      <c r="L63" s="13" t="inlineStr">
        <is>
          <t>Kenapa membaca ulang kurang efektif • Active recall: uji diri tanpa melihat catatan • Spaced repetition: jadwal ulang 1-3-7 hari • Contoh penerapan</t>
        </is>
      </c>
      <c r="M63" s="13" t="inlineStr">
        <is>
          <t>Save &amp; coba minggu ini</t>
        </is>
      </c>
      <c r="N63" s="13" t="inlineStr">
        <is>
          <t>Guru mapel</t>
        </is>
      </c>
      <c r="O63" s="12" t="inlineStr">
        <is>
          <t>Ide</t>
        </is>
      </c>
      <c r="P63" s="13" t="inlineStr"/>
    </row>
    <row r="64">
      <c r="A64" s="12" t="n">
        <v>60</v>
      </c>
      <c r="B64" s="12" t="n">
        <v>20</v>
      </c>
      <c r="C64" s="13" t="inlineStr">
        <is>
          <t>Semester 2</t>
        </is>
      </c>
      <c r="D64" s="14" t="n">
        <v>46451</v>
      </c>
      <c r="E64" s="12" t="inlineStr">
        <is>
          <t>Jumat</t>
        </is>
      </c>
      <c r="F64" s="13" t="inlineStr">
        <is>
          <t>#JumatNgobrolBK</t>
        </is>
      </c>
      <c r="G64" s="13" t="inlineStr">
        <is>
          <t>Fokus Akhir Jenjang</t>
        </is>
      </c>
      <c r="H64" s="13" t="inlineStr">
        <is>
          <t>ASAJ kelas XII (1–5 Mar); Pesantren Ramadan (1–5 Mar)</t>
        </is>
      </c>
      <c r="I64" s="9" t="inlineStr">
        <is>
          <t>Pribadi</t>
        </is>
      </c>
      <c r="J64" s="12" t="inlineStr">
        <is>
          <t>Carousel</t>
        </is>
      </c>
      <c r="K64" s="15" t="inlineStr">
        <is>
          <t>Menunggu Pengumuman Bikin Deg-degan? Kelola Cemasmu</t>
        </is>
      </c>
      <c r="L64" s="13" t="inlineStr">
        <is>
          <t>Kenapa menunggu terasa berat • Fokus pada yang bisa dikontrol • Tetap lanjut persiapan Plan B • Batasi baca rumor di medsos • Cerita ke orang terpercaya</t>
        </is>
      </c>
      <c r="M64" s="13" t="inlineStr">
        <is>
          <t>Kirim emoji 🤍 untuk teman yang sedang menunggu</t>
        </is>
      </c>
      <c r="N64" s="13" t="inlineStr">
        <is>
          <t>-</t>
        </is>
      </c>
      <c r="O64" s="12" t="inlineStr">
        <is>
          <t>Ide</t>
        </is>
      </c>
      <c r="P64" s="13" t="inlineStr"/>
    </row>
    <row r="65">
      <c r="A65" s="12" t="n">
        <v>61</v>
      </c>
      <c r="B65" s="12" t="n">
        <v>21</v>
      </c>
      <c r="C65" s="13" t="inlineStr">
        <is>
          <t>Semester 2</t>
        </is>
      </c>
      <c r="D65" s="14" t="n">
        <v>46454</v>
      </c>
      <c r="E65" s="12" t="inlineStr">
        <is>
          <t>Senin</t>
        </is>
      </c>
      <c r="F65" s="13" t="inlineStr">
        <is>
          <t>#SeninStarter</t>
        </is>
      </c>
      <c r="G65" s="13" t="inlineStr">
        <is>
          <t>Lebaran &amp; Rumah Kedua</t>
        </is>
      </c>
      <c r="H65" s="13" t="inlineStr">
        <is>
          <t>Libur Idul Fitri (8–19 Mar); Nyepi (9 Mar); Idul Fitri (10 Mar); HUT SMANRICI (12 Mar)</t>
        </is>
      </c>
      <c r="I65" s="10" t="inlineStr">
        <is>
          <t>Sosial</t>
        </is>
      </c>
      <c r="J65" s="12" t="inlineStr">
        <is>
          <t>Reels</t>
        </is>
      </c>
      <c r="K65" s="15" t="inlineStr">
        <is>
          <t>Survive Pertanyaan Lebaran: 'Ranking Berapa? Mau Kuliah di Mana?'</t>
        </is>
      </c>
      <c r="L65" s="13" t="inlineStr">
        <is>
          <t>Kenapa pertanyaan itu muncul (bentuk perhatian) • Jawaban santai &amp; sopan • Cara mengalihkan topik • Tetap menghargai yang bertanya • Jaga perasaan sepupu juga</t>
        </is>
      </c>
      <c r="M65" s="13" t="inlineStr">
        <is>
          <t>Pertanyaan lebaran paling 'horor' menurutmu?</t>
        </is>
      </c>
      <c r="N65" s="13" t="inlineStr">
        <is>
          <t>-</t>
        </is>
      </c>
      <c r="O65" s="12" t="inlineStr">
        <is>
          <t>Ide</t>
        </is>
      </c>
      <c r="P65" s="13" t="inlineStr"/>
    </row>
    <row r="66">
      <c r="A66" s="12" t="n">
        <v>62</v>
      </c>
      <c r="B66" s="12" t="n">
        <v>21</v>
      </c>
      <c r="C66" s="13" t="inlineStr">
        <is>
          <t>Semester 2</t>
        </is>
      </c>
      <c r="D66" s="14" t="n">
        <v>46456</v>
      </c>
      <c r="E66" s="12" t="inlineStr">
        <is>
          <t>Rabu</t>
        </is>
      </c>
      <c r="F66" s="13" t="inlineStr">
        <is>
          <t>#RabuRuangAman</t>
        </is>
      </c>
      <c r="G66" s="13" t="inlineStr">
        <is>
          <t>Lebaran &amp; Rumah Kedua</t>
        </is>
      </c>
      <c r="H66" s="13" t="inlineStr">
        <is>
          <t>Libur Idul Fitri (8–19 Mar); Nyepi (9 Mar); Idul Fitri (10 Mar); HUT SMANRICI (12 Mar)</t>
        </is>
      </c>
      <c r="I66" s="10" t="inlineStr">
        <is>
          <t>Sosial</t>
        </is>
      </c>
      <c r="J66" s="12" t="inlineStr">
        <is>
          <t>Single Image</t>
        </is>
      </c>
      <c r="K66" s="15" t="inlineStr">
        <is>
          <t>Selamat Idul Fitri 1448 H — Mohon Maaf Lahir &amp; Batin</t>
        </is>
      </c>
      <c r="L66" s="13" t="inlineStr">
        <is>
          <t>Ucapan dari Tim BK • Pesan: maaf-memaafkan membuat hati lebih ringan</t>
        </is>
      </c>
      <c r="M66" s="13" t="inlineStr">
        <is>
          <t>-</t>
        </is>
      </c>
      <c r="N66" s="13" t="inlineStr">
        <is>
          <t>Seluruh warga sekolah</t>
        </is>
      </c>
      <c r="O66" s="12" t="inlineStr">
        <is>
          <t>Ide</t>
        </is>
      </c>
      <c r="P66" s="13" t="inlineStr"/>
    </row>
    <row r="67">
      <c r="A67" s="12" t="n">
        <v>63</v>
      </c>
      <c r="B67" s="12" t="n">
        <v>21</v>
      </c>
      <c r="C67" s="13" t="inlineStr">
        <is>
          <t>Semester 2</t>
        </is>
      </c>
      <c r="D67" s="14" t="n">
        <v>46458</v>
      </c>
      <c r="E67" s="12" t="inlineStr">
        <is>
          <t>Jumat</t>
        </is>
      </c>
      <c r="F67" s="13" t="inlineStr">
        <is>
          <t>#JumatNgobrolBK</t>
        </is>
      </c>
      <c r="G67" s="13" t="inlineStr">
        <is>
          <t>Lebaran &amp; Rumah Kedua</t>
        </is>
      </c>
      <c r="H67" s="13" t="inlineStr">
        <is>
          <t>Libur Idul Fitri (8–19 Mar); Nyepi (9 Mar); Idul Fitri (10 Mar); HUT SMANRICI (12 Mar)</t>
        </is>
      </c>
      <c r="I67" s="10" t="inlineStr">
        <is>
          <t>Sosial</t>
        </is>
      </c>
      <c r="J67" s="12" t="inlineStr">
        <is>
          <t>Reels</t>
        </is>
      </c>
      <c r="K67" s="15" t="inlineStr">
        <is>
          <t>HUT SMANRICI: Apa yang Bikin Kamu Bangga?</t>
        </is>
      </c>
      <c r="L67" s="13" t="inlineStr">
        <is>
          <t>Vox pop siswa, guru, alumni (direkam sebelum libur) • Kilas balik prestasi &amp; momen sekolah</t>
        </is>
      </c>
      <c r="M67" s="13" t="inlineStr">
        <is>
          <t>Tulis ucapan untuk SMANRICI</t>
        </is>
      </c>
      <c r="N67" s="13" t="inlineStr">
        <is>
          <t>OSIS &amp; Alumni</t>
        </is>
      </c>
      <c r="O67" s="12" t="inlineStr">
        <is>
          <t>Ide</t>
        </is>
      </c>
      <c r="P67" s="13" t="inlineStr"/>
    </row>
    <row r="68">
      <c r="A68" s="12" t="n">
        <v>64</v>
      </c>
      <c r="B68" s="12" t="n">
        <v>22</v>
      </c>
      <c r="C68" s="13" t="inlineStr">
        <is>
          <t>Semester 2</t>
        </is>
      </c>
      <c r="D68" s="14" t="n">
        <v>46461</v>
      </c>
      <c r="E68" s="12" t="inlineStr">
        <is>
          <t>Senin</t>
        </is>
      </c>
      <c r="F68" s="13" t="inlineStr">
        <is>
          <t>#SeninStarter</t>
        </is>
      </c>
      <c r="G68" s="13" t="inlineStr">
        <is>
          <t>THR &amp; Dompet Remaja</t>
        </is>
      </c>
      <c r="H68" s="13" t="inlineStr">
        <is>
          <t>Libur Idul Fitri (s.d. 19 Mar); perkiraan pengumuman SNBP</t>
        </is>
      </c>
      <c r="I68" s="11" t="inlineStr">
        <is>
          <t>Karier</t>
        </is>
      </c>
      <c r="J68" s="12" t="inlineStr">
        <is>
          <t>Infografis</t>
        </is>
      </c>
      <c r="K68" s="15" t="inlineStr">
        <is>
          <t>Kelola Uang THR: Rumus 50–30–20 Versi Pelajar</t>
        </is>
      </c>
      <c r="L68" s="13" t="inlineStr">
        <is>
          <t>50% kebutuhan/tabungan pendidikan • 30% keinginan • 20% tabungan/sedekah • Bedakan butuh vs ingin • Mulai menabung untuk biaya kuliah</t>
        </is>
      </c>
      <c r="M68" s="13" t="inlineStr">
        <is>
          <t>Kamu tim nabung atau tim jajan?</t>
        </is>
      </c>
      <c r="N68" s="13" t="inlineStr">
        <is>
          <t>-</t>
        </is>
      </c>
      <c r="O68" s="12" t="inlineStr">
        <is>
          <t>Ide</t>
        </is>
      </c>
      <c r="P68" s="13" t="inlineStr"/>
    </row>
    <row r="69">
      <c r="A69" s="12" t="n">
        <v>65</v>
      </c>
      <c r="B69" s="12" t="n">
        <v>22</v>
      </c>
      <c r="C69" s="13" t="inlineStr">
        <is>
          <t>Semester 2</t>
        </is>
      </c>
      <c r="D69" s="14" t="n">
        <v>46463</v>
      </c>
      <c r="E69" s="12" t="inlineStr">
        <is>
          <t>Rabu</t>
        </is>
      </c>
      <c r="F69" s="13" t="inlineStr">
        <is>
          <t>#RabuRuangAman</t>
        </is>
      </c>
      <c r="G69" s="13" t="inlineStr">
        <is>
          <t>THR &amp; Dompet Remaja</t>
        </is>
      </c>
      <c r="H69" s="13" t="inlineStr">
        <is>
          <t>Libur Idul Fitri (s.d. 19 Mar); perkiraan pengumuman SNBP</t>
        </is>
      </c>
      <c r="I69" s="10" t="inlineStr">
        <is>
          <t>Sosial</t>
        </is>
      </c>
      <c r="J69" s="12" t="inlineStr">
        <is>
          <t>Carousel</t>
        </is>
      </c>
      <c r="K69" s="15" t="inlineStr">
        <is>
          <t>Paylater &amp; Pinjol untuk Remaja: Kenali Risikonya</t>
        </is>
      </c>
      <c r="L69" s="13" t="inlineStr">
        <is>
          <t>Cara kerja paylater/pinjol • Bunga &amp; denda yang menjerat • Pinjol ilegal &amp; penyebaran data • Tekanan gaya hidup/FOMO • Cek legalitas di OJK</t>
        </is>
      </c>
      <c r="M69" s="13" t="inlineStr">
        <is>
          <t>Share ke teman &amp; keluarga</t>
        </is>
      </c>
      <c r="N69" s="13" t="inlineStr">
        <is>
          <t>-</t>
        </is>
      </c>
      <c r="O69" s="12" t="inlineStr">
        <is>
          <t>Ide</t>
        </is>
      </c>
      <c r="P69" s="13" t="inlineStr"/>
    </row>
    <row r="70">
      <c r="A70" s="12" t="n">
        <v>66</v>
      </c>
      <c r="B70" s="12" t="n">
        <v>22</v>
      </c>
      <c r="C70" s="13" t="inlineStr">
        <is>
          <t>Semester 2</t>
        </is>
      </c>
      <c r="D70" s="14" t="n">
        <v>46465</v>
      </c>
      <c r="E70" s="12" t="inlineStr">
        <is>
          <t>Jumat</t>
        </is>
      </c>
      <c r="F70" s="13" t="inlineStr">
        <is>
          <t>#JumatNgobrolBK</t>
        </is>
      </c>
      <c r="G70" s="13" t="inlineStr">
        <is>
          <t>THR &amp; Dompet Remaja</t>
        </is>
      </c>
      <c r="H70" s="13" t="inlineStr">
        <is>
          <t>Libur Idul Fitri (s.d. 19 Mar); perkiraan pengumuman SNBP</t>
        </is>
      </c>
      <c r="I70" s="7" t="inlineStr">
        <is>
          <t>Belajar</t>
        </is>
      </c>
      <c r="J70" s="12" t="inlineStr">
        <is>
          <t>Reels</t>
        </is>
      </c>
      <c r="K70" s="15" t="inlineStr">
        <is>
          <t>H-3 Masuk Sekolah: Reset Jam Tidur Pasca Libur</t>
        </is>
      </c>
      <c r="L70" s="13" t="inlineStr">
        <is>
          <t>Majukan jam tidur 15 menit tiap malam • Bangun di jam yang sama • Cahaya pagi • Siapkan perlengkapan sekolah</t>
        </is>
      </c>
      <c r="M70" s="13" t="inlineStr">
        <is>
          <t>Siapa yang jam tidurnya masih kacau? 🙋</t>
        </is>
      </c>
      <c r="N70" s="13" t="inlineStr">
        <is>
          <t>-</t>
        </is>
      </c>
      <c r="O70" s="12" t="inlineStr">
        <is>
          <t>Ide</t>
        </is>
      </c>
      <c r="P70" s="13" t="inlineStr"/>
    </row>
    <row r="71">
      <c r="A71" s="12" t="n">
        <v>67</v>
      </c>
      <c r="B71" s="12" t="n">
        <v>23</v>
      </c>
      <c r="C71" s="13" t="inlineStr">
        <is>
          <t>Semester 2</t>
        </is>
      </c>
      <c r="D71" s="14" t="n">
        <v>46468</v>
      </c>
      <c r="E71" s="12" t="inlineStr">
        <is>
          <t>Senin</t>
        </is>
      </c>
      <c r="F71" s="13" t="inlineStr">
        <is>
          <t>#SeninStarter</t>
        </is>
      </c>
      <c r="G71" s="13" t="inlineStr">
        <is>
          <t>Bangkit Setelah Hasil</t>
        </is>
      </c>
      <c r="H71" s="13" t="inlineStr">
        <is>
          <t>Masuk kembali setelah libur Idul Fitri (22 Mar); pasca-pengumuman SNBP (perkiraan)</t>
        </is>
      </c>
      <c r="I71" s="11" t="inlineStr">
        <is>
          <t>Karier</t>
        </is>
      </c>
      <c r="J71" s="12" t="inlineStr">
        <is>
          <t>Carousel</t>
        </is>
      </c>
      <c r="K71" s="15" t="inlineStr">
        <is>
          <t>Lolos atau Belum Lolos SNBP: Ini Langkah Selanjutnya</t>
        </is>
      </c>
      <c r="L71" s="13" t="inlineStr">
        <is>
          <t>Jika lolos: daftar ulang, KIP Kuliah, persiapan kuliah • Jika belum: fokus UTBK-SNBT, cek jalur mandiri • Konsultasi BK untuk strategi pilihan</t>
        </is>
      </c>
      <c r="M71" s="13" t="inlineStr">
        <is>
          <t>Datang ke BK untuk konsultasi pilihan</t>
        </is>
      </c>
      <c r="N71" s="13" t="inlineStr">
        <is>
          <t>Tim Info Karier BK</t>
        </is>
      </c>
      <c r="O71" s="12" t="inlineStr">
        <is>
          <t>Ide</t>
        </is>
      </c>
      <c r="P71" s="13" t="inlineStr"/>
    </row>
    <row r="72">
      <c r="A72" s="12" t="n">
        <v>68</v>
      </c>
      <c r="B72" s="12" t="n">
        <v>23</v>
      </c>
      <c r="C72" s="13" t="inlineStr">
        <is>
          <t>Semester 2</t>
        </is>
      </c>
      <c r="D72" s="14" t="n">
        <v>46470</v>
      </c>
      <c r="E72" s="12" t="inlineStr">
        <is>
          <t>Rabu</t>
        </is>
      </c>
      <c r="F72" s="13" t="inlineStr">
        <is>
          <t>#RabuRuangAman</t>
        </is>
      </c>
      <c r="G72" s="13" t="inlineStr">
        <is>
          <t>Bangkit Setelah Hasil</t>
        </is>
      </c>
      <c r="H72" s="13" t="inlineStr">
        <is>
          <t>Masuk kembali setelah libur Idul Fitri (22 Mar); pasca-pengumuman SNBP (perkiraan)</t>
        </is>
      </c>
      <c r="I72" s="9" t="inlineStr">
        <is>
          <t>Pribadi</t>
        </is>
      </c>
      <c r="J72" s="12" t="inlineStr">
        <is>
          <t>Carousel</t>
        </is>
      </c>
      <c r="K72" s="15" t="inlineStr">
        <is>
          <t>Kecewa Itu Wajar: 5 Cara Sehat Memproses Kegagalan</t>
        </is>
      </c>
      <c r="L72" s="13" t="inlineStr">
        <is>
          <t>Izinkan diri merasa sedih • Jangan menilai diri dari satu hasil • Cerita ke orang terpercaya • Ambil pelajaran • Susun langkah baru • Hindari flexing yang menyakiti teman</t>
        </is>
      </c>
      <c r="M72" s="13" t="inlineStr">
        <is>
          <t>Kamu tidak sendiri 🤍</t>
        </is>
      </c>
      <c r="N72" s="13" t="inlineStr">
        <is>
          <t>-</t>
        </is>
      </c>
      <c r="O72" s="12" t="inlineStr">
        <is>
          <t>Ide</t>
        </is>
      </c>
      <c r="P72" s="13" t="inlineStr"/>
    </row>
    <row r="73">
      <c r="A73" s="12" t="n">
        <v>69</v>
      </c>
      <c r="B73" s="12" t="n">
        <v>23</v>
      </c>
      <c r="C73" s="13" t="inlineStr">
        <is>
          <t>Semester 2</t>
        </is>
      </c>
      <c r="D73" s="14" t="n">
        <v>46472</v>
      </c>
      <c r="E73" s="12" t="inlineStr">
        <is>
          <t>Jumat</t>
        </is>
      </c>
      <c r="F73" s="13" t="inlineStr">
        <is>
          <t>#JumatNgobrolBK</t>
        </is>
      </c>
      <c r="G73" s="13" t="inlineStr">
        <is>
          <t>Bangkit Setelah Hasil</t>
        </is>
      </c>
      <c r="H73" s="13" t="inlineStr">
        <is>
          <t>Masuk kembali setelah libur Idul Fitri (22 Mar); pasca-pengumuman SNBP (perkiraan)</t>
        </is>
      </c>
      <c r="I73" s="11" t="inlineStr">
        <is>
          <t>Karier</t>
        </is>
      </c>
      <c r="J73" s="12" t="inlineStr">
        <is>
          <t>Reels</t>
        </is>
      </c>
      <c r="K73" s="15" t="inlineStr">
        <is>
          <t>Kata Alumni #2: Gagal SNBP, Lolos SNBT</t>
        </is>
      </c>
      <c r="L73" s="13" t="inlineStr">
        <is>
          <t>Cerita alumni bangkit dari penolakan • Strategi belajar UTBK • Pesan untuk adik kelas</t>
        </is>
      </c>
      <c r="M73" s="13" t="inlineStr">
        <is>
          <t>Tulis pertanyaanmu untuk alumni</t>
        </is>
      </c>
      <c r="N73" s="13" t="inlineStr">
        <is>
          <t>Alumni SMANRICI</t>
        </is>
      </c>
      <c r="O73" s="12" t="inlineStr">
        <is>
          <t>Ide</t>
        </is>
      </c>
      <c r="P73" s="13" t="inlineStr"/>
    </row>
    <row r="74">
      <c r="A74" s="12" t="n">
        <v>70</v>
      </c>
      <c r="B74" s="12" t="n">
        <v>24</v>
      </c>
      <c r="C74" s="13" t="inlineStr">
        <is>
          <t>Semester 2</t>
        </is>
      </c>
      <c r="D74" s="14" t="n">
        <v>46475</v>
      </c>
      <c r="E74" s="12" t="inlineStr">
        <is>
          <t>Senin</t>
        </is>
      </c>
      <c r="F74" s="13" t="inlineStr">
        <is>
          <t>#SeninStarter</t>
        </is>
      </c>
      <c r="G74" s="13" t="inlineStr">
        <is>
          <t>Siap ASTS dengan Jujur</t>
        </is>
      </c>
      <c r="H74" s="13" t="inlineStr">
        <is>
          <t>Menjelang ASTS (5–9 Apr); Hari Peduli Autisme Sedunia (2 Apr)</t>
        </is>
      </c>
      <c r="I74" s="7" t="inlineStr">
        <is>
          <t>Belajar</t>
        </is>
      </c>
      <c r="J74" s="12" t="inlineStr">
        <is>
          <t>Infografis</t>
        </is>
      </c>
      <c r="K74" s="15" t="inlineStr">
        <is>
          <t>H-7 ASTS: Rencana Belajar 7 Hari</t>
        </is>
      </c>
      <c r="L74" s="13" t="inlineStr">
        <is>
          <t>Petakan materi per mapel • Prioritaskan yang lemah • Teknik Pomodoro 25/5 • Latihan soal di H-2 • H-1: review ringan &amp; tidur cepat</t>
        </is>
      </c>
      <c r="M74" s="13" t="inlineStr">
        <is>
          <t>Save &amp; tempel di meja belajar</t>
        </is>
      </c>
      <c r="N74" s="13" t="inlineStr">
        <is>
          <t>-</t>
        </is>
      </c>
      <c r="O74" s="12" t="inlineStr">
        <is>
          <t>Ide</t>
        </is>
      </c>
      <c r="P74" s="13" t="inlineStr"/>
    </row>
    <row r="75">
      <c r="A75" s="12" t="n">
        <v>71</v>
      </c>
      <c r="B75" s="12" t="n">
        <v>24</v>
      </c>
      <c r="C75" s="13" t="inlineStr">
        <is>
          <t>Semester 2</t>
        </is>
      </c>
      <c r="D75" s="14" t="n">
        <v>46477</v>
      </c>
      <c r="E75" s="12" t="inlineStr">
        <is>
          <t>Rabu</t>
        </is>
      </c>
      <c r="F75" s="13" t="inlineStr">
        <is>
          <t>#RabuRuangAman</t>
        </is>
      </c>
      <c r="G75" s="13" t="inlineStr">
        <is>
          <t>Siap ASTS dengan Jujur</t>
        </is>
      </c>
      <c r="H75" s="13" t="inlineStr">
        <is>
          <t>Menjelang ASTS (5–9 Apr); Hari Peduli Autisme Sedunia (2 Apr)</t>
        </is>
      </c>
      <c r="I75" s="7" t="inlineStr">
        <is>
          <t>Belajar</t>
        </is>
      </c>
      <c r="J75" s="12" t="inlineStr">
        <is>
          <t>Carousel</t>
        </is>
      </c>
      <c r="K75" s="15" t="inlineStr">
        <is>
          <t>Pakai AI untuk Belajar, Bukan untuk Curang</t>
        </is>
      </c>
      <c r="L75" s="13" t="inlineStr">
        <is>
          <t>Manfaat AI (ChatGPT, Gemini) untuk memahami konsep • Batas etis: tidak copy-paste tugas • Cara bertanya ke AI agar paham • Cek ulang jawaban AI • Integritas akademik</t>
        </is>
      </c>
      <c r="M75" s="13" t="inlineStr">
        <is>
          <t>Kamu pakai AI untuk apa? Jujur di komentar</t>
        </is>
      </c>
      <c r="N75" s="13" t="inlineStr">
        <is>
          <t>Guru TIK / Informatika</t>
        </is>
      </c>
      <c r="O75" s="12" t="inlineStr">
        <is>
          <t>Ide</t>
        </is>
      </c>
      <c r="P75" s="13" t="inlineStr"/>
    </row>
    <row r="76">
      <c r="A76" s="12" t="n">
        <v>72</v>
      </c>
      <c r="B76" s="12" t="n">
        <v>24</v>
      </c>
      <c r="C76" s="13" t="inlineStr">
        <is>
          <t>Semester 2</t>
        </is>
      </c>
      <c r="D76" s="14" t="n">
        <v>46479</v>
      </c>
      <c r="E76" s="12" t="inlineStr">
        <is>
          <t>Jumat</t>
        </is>
      </c>
      <c r="F76" s="13" t="inlineStr">
        <is>
          <t>#JumatNgobrolBK</t>
        </is>
      </c>
      <c r="G76" s="13" t="inlineStr">
        <is>
          <t>Siap ASTS dengan Jujur</t>
        </is>
      </c>
      <c r="H76" s="13" t="inlineStr">
        <is>
          <t>Menjelang ASTS (5–9 Apr); Hari Peduli Autisme Sedunia (2 Apr)</t>
        </is>
      </c>
      <c r="I76" s="10" t="inlineStr">
        <is>
          <t>Sosial</t>
        </is>
      </c>
      <c r="J76" s="12" t="inlineStr">
        <is>
          <t>Infografis</t>
        </is>
      </c>
      <c r="K76" s="15" t="inlineStr">
        <is>
          <t>Peduli Autisme: Kenali, Pahami, Rangkul</t>
        </is>
      </c>
      <c r="L76" s="13" t="inlineStr">
        <is>
          <t>Autisme adalah spektrum • Mitos vs fakta • Cara berinteraksi yang menghargai • Sekolah inklusif dimulai dari kita</t>
        </is>
      </c>
      <c r="M76" s="13" t="inlineStr">
        <is>
          <t>Share untuk menyebarkan pemahaman</t>
        </is>
      </c>
      <c r="N76" s="13" t="inlineStr">
        <is>
          <t>-</t>
        </is>
      </c>
      <c r="O76" s="12" t="inlineStr">
        <is>
          <t>Ide</t>
        </is>
      </c>
      <c r="P76" s="13" t="inlineStr"/>
    </row>
    <row r="77">
      <c r="A77" s="12" t="n">
        <v>73</v>
      </c>
      <c r="B77" s="12" t="n">
        <v>25</v>
      </c>
      <c r="C77" s="13" t="inlineStr">
        <is>
          <t>Semester 2</t>
        </is>
      </c>
      <c r="D77" s="14" t="n">
        <v>46482</v>
      </c>
      <c r="E77" s="12" t="inlineStr">
        <is>
          <t>Senin</t>
        </is>
      </c>
      <c r="F77" s="13" t="inlineStr">
        <is>
          <t>#SeninStarter</t>
        </is>
      </c>
      <c r="G77" s="13" t="inlineStr">
        <is>
          <t>Ujian Tenang, Badan Sehat</t>
        </is>
      </c>
      <c r="H77" s="13" t="inlineStr">
        <is>
          <t>ASTS (5–9 Apr); Hari Kesehatan Sedunia (7 Apr)</t>
        </is>
      </c>
      <c r="I77" s="9" t="inlineStr">
        <is>
          <t>Pribadi</t>
        </is>
      </c>
      <c r="J77" s="12" t="inlineStr">
        <is>
          <t>Single Image</t>
        </is>
      </c>
      <c r="K77" s="15" t="inlineStr">
        <is>
          <t>Pesan BK Selama ASTS: Tidur, Sarapan, Jujur</t>
        </is>
      </c>
      <c r="L77" s="13" t="inlineStr">
        <is>
          <t>Tiga pengingat sederhana • Visual ikon • 'Kami bangga pada usahamu, bukan hanya nilaimu'</t>
        </is>
      </c>
      <c r="M77" s="13" t="inlineStr">
        <is>
          <t>Tag teman satu ruang ujian</t>
        </is>
      </c>
      <c r="N77" s="13" t="inlineStr">
        <is>
          <t>-</t>
        </is>
      </c>
      <c r="O77" s="12" t="inlineStr">
        <is>
          <t>Ide</t>
        </is>
      </c>
      <c r="P77" s="13" t="inlineStr"/>
    </row>
    <row r="78">
      <c r="A78" s="12" t="n">
        <v>74</v>
      </c>
      <c r="B78" s="12" t="n">
        <v>25</v>
      </c>
      <c r="C78" s="13" t="inlineStr">
        <is>
          <t>Semester 2</t>
        </is>
      </c>
      <c r="D78" s="14" t="n">
        <v>46484</v>
      </c>
      <c r="E78" s="12" t="inlineStr">
        <is>
          <t>Rabu</t>
        </is>
      </c>
      <c r="F78" s="13" t="inlineStr">
        <is>
          <t>#RabuRuangAman</t>
        </is>
      </c>
      <c r="G78" s="13" t="inlineStr">
        <is>
          <t>Ujian Tenang, Badan Sehat</t>
        </is>
      </c>
      <c r="H78" s="13" t="inlineStr">
        <is>
          <t>ASTS (5–9 Apr); Hari Kesehatan Sedunia (7 Apr)</t>
        </is>
      </c>
      <c r="I78" s="9" t="inlineStr">
        <is>
          <t>Pribadi</t>
        </is>
      </c>
      <c r="J78" s="12" t="inlineStr">
        <is>
          <t>Carousel</t>
        </is>
      </c>
      <c r="K78" s="15" t="inlineStr">
        <is>
          <t>Hari Kesehatan Sedunia: Cek Kesehatan Mentalmu</t>
        </is>
      </c>
      <c r="L78" s="13" t="inlineStr">
        <is>
          <t>Mood check-in skala 1–10 • Tanda perlu istirahat • 4 pilar: tidur, makan, gerak, terhubung • Kapan mencari bantuan • Into The Light (119 ext 8) &amp; BK</t>
        </is>
      </c>
      <c r="M78" s="13" t="inlineStr">
        <is>
          <t>Angka mood-mu hari ini berapa?</t>
        </is>
      </c>
      <c r="N78" s="13" t="inlineStr">
        <is>
          <t>PMR / UKS</t>
        </is>
      </c>
      <c r="O78" s="12" t="inlineStr">
        <is>
          <t>Ide</t>
        </is>
      </c>
      <c r="P78" s="13" t="inlineStr"/>
    </row>
    <row r="79">
      <c r="A79" s="12" t="n">
        <v>75</v>
      </c>
      <c r="B79" s="12" t="n">
        <v>25</v>
      </c>
      <c r="C79" s="13" t="inlineStr">
        <is>
          <t>Semester 2</t>
        </is>
      </c>
      <c r="D79" s="14" t="n">
        <v>46486</v>
      </c>
      <c r="E79" s="12" t="inlineStr">
        <is>
          <t>Jumat</t>
        </is>
      </c>
      <c r="F79" s="13" t="inlineStr">
        <is>
          <t>#JumatNgobrolBK</t>
        </is>
      </c>
      <c r="G79" s="13" t="inlineStr">
        <is>
          <t>Ujian Tenang, Badan Sehat</t>
        </is>
      </c>
      <c r="H79" s="13" t="inlineStr">
        <is>
          <t>ASTS (5–9 Apr); Hari Kesehatan Sedunia (7 Apr)</t>
        </is>
      </c>
      <c r="I79" s="7" t="inlineStr">
        <is>
          <t>Belajar</t>
        </is>
      </c>
      <c r="J79" s="12" t="inlineStr">
        <is>
          <t>Reels</t>
        </is>
      </c>
      <c r="K79" s="15" t="inlineStr">
        <is>
          <t>ASTS Selesai: Apa yang Kamu Pelajari dari Cara Belajarmu?</t>
        </is>
      </c>
      <c r="L79" s="13" t="inlineStr">
        <is>
          <t>Refleksi cepat: apa yang berhasil, apa yang tidak • Ubah strategi untuk ASAT • Rayakan usaha</t>
        </is>
      </c>
      <c r="M79" s="13" t="inlineStr">
        <is>
          <t>Satu pelajaran dari ASTS kali ini?</t>
        </is>
      </c>
      <c r="N79" s="13" t="inlineStr">
        <is>
          <t>-</t>
        </is>
      </c>
      <c r="O79" s="12" t="inlineStr">
        <is>
          <t>Ide</t>
        </is>
      </c>
      <c r="P79" s="13" t="inlineStr"/>
    </row>
    <row r="80">
      <c r="A80" s="12" t="n">
        <v>76</v>
      </c>
      <c r="B80" s="12" t="n">
        <v>26</v>
      </c>
      <c r="C80" s="13" t="inlineStr">
        <is>
          <t>Semester 2</t>
        </is>
      </c>
      <c r="D80" s="14" t="n">
        <v>46489</v>
      </c>
      <c r="E80" s="12" t="inlineStr">
        <is>
          <t>Senin</t>
        </is>
      </c>
      <c r="F80" s="13" t="inlineStr">
        <is>
          <t>#SeninStarter</t>
        </is>
      </c>
      <c r="G80" s="13" t="inlineStr">
        <is>
          <t>Belajar dari Aksi Nyata</t>
        </is>
      </c>
      <c r="H80" s="13" t="inlineStr">
        <is>
          <t>Aksi Nyata (12–15 Apr); Pembagian LHB (16 Apr)</t>
        </is>
      </c>
      <c r="I80" s="10" t="inlineStr">
        <is>
          <t>Sosial</t>
        </is>
      </c>
      <c r="J80" s="12" t="inlineStr">
        <is>
          <t>Reels</t>
        </is>
      </c>
      <c r="K80" s="15" t="inlineStr">
        <is>
          <t>Kerja Tim di Proyek: Atasi Teman 'Numpang Nama'</t>
        </is>
      </c>
      <c r="L80" s="13" t="inlineStr">
        <is>
          <t>Buat kesepakatan &amp; pembagian tugas tertulis • Pantau progres bersama • Tegur dengan asertif • Libatkan guru bila perlu • Hargai kontribusi kecil</t>
        </is>
      </c>
      <c r="M80" s="13" t="inlineStr">
        <is>
          <t>Kamu tipe ketua, ide, eksekutor, atau dokumentasi?</t>
        </is>
      </c>
      <c r="N80" s="13" t="inlineStr">
        <is>
          <t>-</t>
        </is>
      </c>
      <c r="O80" s="12" t="inlineStr">
        <is>
          <t>Ide</t>
        </is>
      </c>
      <c r="P80" s="13" t="inlineStr"/>
    </row>
    <row r="81">
      <c r="A81" s="12" t="n">
        <v>77</v>
      </c>
      <c r="B81" s="12" t="n">
        <v>26</v>
      </c>
      <c r="C81" s="13" t="inlineStr">
        <is>
          <t>Semester 2</t>
        </is>
      </c>
      <c r="D81" s="14" t="n">
        <v>46491</v>
      </c>
      <c r="E81" s="12" t="inlineStr">
        <is>
          <t>Rabu</t>
        </is>
      </c>
      <c r="F81" s="13" t="inlineStr">
        <is>
          <t>#RabuRuangAman</t>
        </is>
      </c>
      <c r="G81" s="13" t="inlineStr">
        <is>
          <t>Belajar dari Aksi Nyata</t>
        </is>
      </c>
      <c r="H81" s="13" t="inlineStr">
        <is>
          <t>Aksi Nyata (12–15 Apr); Pembagian LHB (16 Apr)</t>
        </is>
      </c>
      <c r="I81" s="10" t="inlineStr">
        <is>
          <t>Sosial</t>
        </is>
      </c>
      <c r="J81" s="12" t="inlineStr">
        <is>
          <t>Photo Dump</t>
        </is>
      </c>
      <c r="K81" s="15" t="inlineStr">
        <is>
          <t>Behind The Scene Aksi Nyata SMANRICI</t>
        </is>
      </c>
      <c r="L81" s="13" t="inlineStr">
        <is>
          <t>Montase proses proyek siswa • Momen kolaborasi &amp; kreativitas • Narasi: belajar dari aksi nyata</t>
        </is>
      </c>
      <c r="M81" s="13" t="inlineStr">
        <is>
          <t>Kelas mana yang paling kreatif?</t>
        </is>
      </c>
      <c r="N81" s="13" t="inlineStr">
        <is>
          <t>Wali Kelas &amp; Koordinator Aksi Nyata</t>
        </is>
      </c>
      <c r="O81" s="12" t="inlineStr">
        <is>
          <t>Ide</t>
        </is>
      </c>
      <c r="P81" s="13" t="inlineStr"/>
    </row>
    <row r="82">
      <c r="A82" s="12" t="n">
        <v>78</v>
      </c>
      <c r="B82" s="12" t="n">
        <v>26</v>
      </c>
      <c r="C82" s="13" t="inlineStr">
        <is>
          <t>Semester 2</t>
        </is>
      </c>
      <c r="D82" s="14" t="n">
        <v>46493</v>
      </c>
      <c r="E82" s="12" t="inlineStr">
        <is>
          <t>Jumat</t>
        </is>
      </c>
      <c r="F82" s="13" t="inlineStr">
        <is>
          <t>#JumatNgobrolBK</t>
        </is>
      </c>
      <c r="G82" s="13" t="inlineStr">
        <is>
          <t>Belajar dari Aksi Nyata</t>
        </is>
      </c>
      <c r="H82" s="13" t="inlineStr">
        <is>
          <t>Aksi Nyata (12–15 Apr); Pembagian LHB (16 Apr)</t>
        </is>
      </c>
      <c r="I82" s="7" t="inlineStr">
        <is>
          <t>Belajar</t>
        </is>
      </c>
      <c r="J82" s="12" t="inlineStr">
        <is>
          <t>Carousel</t>
        </is>
      </c>
      <c r="K82" s="15" t="inlineStr">
        <is>
          <t>Membaca LHB: Tentukan 2 Target Perbaikan</t>
        </is>
      </c>
      <c r="L82" s="13" t="inlineStr">
        <is>
          <t>Apa isi LHB • Kenali mapel yang naik/turun • Pilih 2 target realistis • Rencana aksi mingguan • Diskusikan dengan wali kelas/BK</t>
        </is>
      </c>
      <c r="M82" s="13" t="inlineStr">
        <is>
          <t>Tulis target perbaikanmu</t>
        </is>
      </c>
      <c r="N82" s="13" t="inlineStr">
        <is>
          <t>Wali Kelas</t>
        </is>
      </c>
      <c r="O82" s="12" t="inlineStr">
        <is>
          <t>Ide</t>
        </is>
      </c>
      <c r="P82" s="13" t="inlineStr"/>
    </row>
    <row r="83">
      <c r="A83" s="12" t="n">
        <v>79</v>
      </c>
      <c r="B83" s="12" t="n">
        <v>27</v>
      </c>
      <c r="C83" s="13" t="inlineStr">
        <is>
          <t>Semester 2</t>
        </is>
      </c>
      <c r="D83" s="14" t="n">
        <v>46496</v>
      </c>
      <c r="E83" s="12" t="inlineStr">
        <is>
          <t>Senin</t>
        </is>
      </c>
      <c r="F83" s="13" t="inlineStr">
        <is>
          <t>#SeninStarter</t>
        </is>
      </c>
      <c r="G83" s="13" t="inlineStr">
        <is>
          <t>Perempuan Berdaya, Semua Setara</t>
        </is>
      </c>
      <c r="H83" s="13" t="inlineStr">
        <is>
          <t>Hari Kartini (21 Apr); Hari Bumi (22 Apr); perkiraan UTBK-SNBT</t>
        </is>
      </c>
      <c r="I83" s="11" t="inlineStr">
        <is>
          <t>Karier</t>
        </is>
      </c>
      <c r="J83" s="12" t="inlineStr">
        <is>
          <t>Carousel</t>
        </is>
      </c>
      <c r="K83" s="15" t="inlineStr">
        <is>
          <t>UTBK Day: Checklist &amp; Strategi Waktu</t>
        </is>
      </c>
      <c r="L83" s="13" t="inlineStr">
        <is>
          <t>Dokumen &amp; perlengkapan • Cek lokasi H-1 • Strategi per subtes • Atur waktu, lewati soal sulit • Jaga stamina &amp; mental</t>
        </is>
      </c>
      <c r="M83" s="13" t="inlineStr">
        <is>
          <t>Save &amp; kirim ke teman yang ikut UTBK</t>
        </is>
      </c>
      <c r="N83" s="13" t="inlineStr">
        <is>
          <t>-</t>
        </is>
      </c>
      <c r="O83" s="12" t="inlineStr">
        <is>
          <t>Ide</t>
        </is>
      </c>
      <c r="P83" s="13" t="inlineStr"/>
    </row>
    <row r="84">
      <c r="A84" s="12" t="n">
        <v>80</v>
      </c>
      <c r="B84" s="12" t="n">
        <v>27</v>
      </c>
      <c r="C84" s="13" t="inlineStr">
        <is>
          <t>Semester 2</t>
        </is>
      </c>
      <c r="D84" s="14" t="n">
        <v>46498</v>
      </c>
      <c r="E84" s="12" t="inlineStr">
        <is>
          <t>Rabu</t>
        </is>
      </c>
      <c r="F84" s="13" t="inlineStr">
        <is>
          <t>#RabuRuangAman</t>
        </is>
      </c>
      <c r="G84" s="13" t="inlineStr">
        <is>
          <t>Perempuan Berdaya, Semua Setara</t>
        </is>
      </c>
      <c r="H84" s="13" t="inlineStr">
        <is>
          <t>Hari Kartini (21 Apr); Hari Bumi (22 Apr); perkiraan UTBK-SNBT</t>
        </is>
      </c>
      <c r="I84" s="11" t="inlineStr">
        <is>
          <t>Karier</t>
        </is>
      </c>
      <c r="J84" s="12" t="inlineStr">
        <is>
          <t>Carousel</t>
        </is>
      </c>
      <c r="K84" s="15" t="inlineStr">
        <is>
          <t>Kartini Masa Kini: Karier Tanpa Batas Gender</t>
        </is>
      </c>
      <c r="L84" s="13" t="inlineStr">
        <is>
          <t>Perempuan di bidang STEM, teknik, kepemimpinan • Laki-laki di bidang keperawatan, PAUD, tata boga • Pilih karier sesuai minat, bukan stereotip • Tokoh inspiratif</t>
        </is>
      </c>
      <c r="M84" s="13" t="inlineStr">
        <is>
          <t>Tag teman yang menurutmu 'Kartini masa kini'</t>
        </is>
      </c>
      <c r="N84" s="13" t="inlineStr">
        <is>
          <t>-</t>
        </is>
      </c>
      <c r="O84" s="12" t="inlineStr">
        <is>
          <t>Ide</t>
        </is>
      </c>
      <c r="P84" s="13" t="inlineStr"/>
    </row>
    <row r="85">
      <c r="A85" s="12" t="n">
        <v>81</v>
      </c>
      <c r="B85" s="12" t="n">
        <v>27</v>
      </c>
      <c r="C85" s="13" t="inlineStr">
        <is>
          <t>Semester 2</t>
        </is>
      </c>
      <c r="D85" s="14" t="n">
        <v>46500</v>
      </c>
      <c r="E85" s="12" t="inlineStr">
        <is>
          <t>Jumat</t>
        </is>
      </c>
      <c r="F85" s="13" t="inlineStr">
        <is>
          <t>#JumatNgobrolBK</t>
        </is>
      </c>
      <c r="G85" s="13" t="inlineStr">
        <is>
          <t>Perempuan Berdaya, Semua Setara</t>
        </is>
      </c>
      <c r="H85" s="13" t="inlineStr">
        <is>
          <t>Hari Kartini (21 Apr); Hari Bumi (22 Apr); perkiraan UTBK-SNBT</t>
        </is>
      </c>
      <c r="I85" s="10" t="inlineStr">
        <is>
          <t>Sosial</t>
        </is>
      </c>
      <c r="J85" s="12" t="inlineStr">
        <is>
          <t>Reels</t>
        </is>
      </c>
      <c r="K85" s="15" t="inlineStr">
        <is>
          <t>Catcalling &amp; Pelecehan Verbal Bukan Candaan</t>
        </is>
      </c>
      <c r="L85" s="13" t="inlineStr">
        <is>
          <t>Skit singkat (tanpa adegan eksplisit) • Dampak pada korban • Cara merespons &amp; membantu • Lapor ke TPPK/BK</t>
        </is>
      </c>
      <c r="M85" s="13" t="inlineStr">
        <is>
          <t>Share agar sekolah makin aman</t>
        </is>
      </c>
      <c r="N85" s="13" t="inlineStr">
        <is>
          <t>TPPK Sekolah</t>
        </is>
      </c>
      <c r="O85" s="12" t="inlineStr">
        <is>
          <t>Ide</t>
        </is>
      </c>
      <c r="P85" s="13" t="inlineStr"/>
    </row>
    <row r="86">
      <c r="A86" s="12" t="n">
        <v>82</v>
      </c>
      <c r="B86" s="12" t="n">
        <v>28</v>
      </c>
      <c r="C86" s="13" t="inlineStr">
        <is>
          <t>Semester 2</t>
        </is>
      </c>
      <c r="D86" s="14" t="n">
        <v>46503</v>
      </c>
      <c r="E86" s="12" t="inlineStr">
        <is>
          <t>Senin</t>
        </is>
      </c>
      <c r="F86" s="13" t="inlineStr">
        <is>
          <t>#SeninStarter</t>
        </is>
      </c>
      <c r="G86" s="13" t="inlineStr">
        <is>
          <t>Setelah SMA, Mau ke Mana?</t>
        </is>
      </c>
      <c r="H86" s="13" t="inlineStr">
        <is>
          <t>Libur Wafat Isa Al Masih (26 Apr); menjelang penetapan kelulusan</t>
        </is>
      </c>
      <c r="I86" s="11" t="inlineStr">
        <is>
          <t>Karier</t>
        </is>
      </c>
      <c r="J86" s="12" t="inlineStr">
        <is>
          <t>Carousel</t>
        </is>
      </c>
      <c r="K86" s="15" t="inlineStr">
        <is>
          <t>4 Jalan Setelah SMA: Kuliah, Kerja, Wirausaha, atau Gap Year?</t>
        </is>
      </c>
      <c r="L86" s="13" t="inlineStr">
        <is>
          <t>Kelebihan &amp; tantangan tiap pilihan • Pertanyaan untuk menimbang diri • Gap year yang terencana • Semua jalan valid jika disiapkan</t>
        </is>
      </c>
      <c r="M86" s="13" t="inlineStr">
        <is>
          <t>Kamu pilih jalan yang mana?</t>
        </is>
      </c>
      <c r="N86" s="13" t="inlineStr">
        <is>
          <t>-</t>
        </is>
      </c>
      <c r="O86" s="12" t="inlineStr">
        <is>
          <t>Ide</t>
        </is>
      </c>
      <c r="P86" s="13" t="inlineStr"/>
    </row>
    <row r="87">
      <c r="A87" s="12" t="n">
        <v>83</v>
      </c>
      <c r="B87" s="12" t="n">
        <v>28</v>
      </c>
      <c r="C87" s="13" t="inlineStr">
        <is>
          <t>Semester 2</t>
        </is>
      </c>
      <c r="D87" s="14" t="n">
        <v>46505</v>
      </c>
      <c r="E87" s="12" t="inlineStr">
        <is>
          <t>Rabu</t>
        </is>
      </c>
      <c r="F87" s="13" t="inlineStr">
        <is>
          <t>#RabuRuangAman</t>
        </is>
      </c>
      <c r="G87" s="13" t="inlineStr">
        <is>
          <t>Setelah SMA, Mau ke Mana?</t>
        </is>
      </c>
      <c r="H87" s="13" t="inlineStr">
        <is>
          <t>Libur Wafat Isa Al Masih (26 Apr); menjelang penetapan kelulusan</t>
        </is>
      </c>
      <c r="I87" s="11" t="inlineStr">
        <is>
          <t>Karier</t>
        </is>
      </c>
      <c r="J87" s="12" t="inlineStr">
        <is>
          <t>Carousel</t>
        </is>
      </c>
      <c r="K87" s="15" t="inlineStr">
        <is>
          <t>Sekolah Kedinasan &amp; Beasiswa: Cek Jadwal &amp; Syaratnya</t>
        </is>
      </c>
      <c r="L87" s="13" t="inlineStr">
        <is>
          <t>Contoh sekolah kedinasan &amp; syarat umum • KIP Kuliah • Beasiswa pemerintah daerah &amp; kampus • Dokumen yang perlu disiapkan • Waspada calo</t>
        </is>
      </c>
      <c r="M87" s="13" t="inlineStr">
        <is>
          <t>Save &amp; cek situs resminya</t>
        </is>
      </c>
      <c r="N87" s="13" t="inlineStr">
        <is>
          <t>Tim Info Karier BK</t>
        </is>
      </c>
      <c r="O87" s="12" t="inlineStr">
        <is>
          <t>Ide</t>
        </is>
      </c>
      <c r="P87" s="13" t="inlineStr"/>
    </row>
    <row r="88">
      <c r="A88" s="12" t="n">
        <v>84</v>
      </c>
      <c r="B88" s="12" t="n">
        <v>28</v>
      </c>
      <c r="C88" s="13" t="inlineStr">
        <is>
          <t>Semester 2</t>
        </is>
      </c>
      <c r="D88" s="14" t="n">
        <v>46507</v>
      </c>
      <c r="E88" s="12" t="inlineStr">
        <is>
          <t>Jumat</t>
        </is>
      </c>
      <c r="F88" s="13" t="inlineStr">
        <is>
          <t>#JumatNgobrolBK</t>
        </is>
      </c>
      <c r="G88" s="13" t="inlineStr">
        <is>
          <t>Setelah SMA, Mau ke Mana?</t>
        </is>
      </c>
      <c r="H88" s="13" t="inlineStr">
        <is>
          <t>Libur Wafat Isa Al Masih (26 Apr); menjelang penetapan kelulusan</t>
        </is>
      </c>
      <c r="I88" s="11" t="inlineStr">
        <is>
          <t>Karier</t>
        </is>
      </c>
      <c r="J88" s="12" t="inlineStr">
        <is>
          <t>Reels</t>
        </is>
      </c>
      <c r="K88" s="15" t="inlineStr">
        <is>
          <t>Kata Alumni #3: Alumni yang Bekerja &amp; Berwirausaha</t>
        </is>
      </c>
      <c r="L88" s="13" t="inlineStr">
        <is>
          <t>Cerita alumni di dunia kerja/usaha • Skill yang dibutuhkan • Tips memulai dari SMA</t>
        </is>
      </c>
      <c r="M88" s="13" t="inlineStr">
        <is>
          <t>Tulis pertanyaan untuk alumni</t>
        </is>
      </c>
      <c r="N88" s="13" t="inlineStr">
        <is>
          <t>Alumni SMANRICI</t>
        </is>
      </c>
      <c r="O88" s="12" t="inlineStr">
        <is>
          <t>Ide</t>
        </is>
      </c>
      <c r="P88" s="13" t="inlineStr"/>
    </row>
    <row r="89">
      <c r="A89" s="12" t="n">
        <v>85</v>
      </c>
      <c r="B89" s="12" t="n">
        <v>29</v>
      </c>
      <c r="C89" s="13" t="inlineStr">
        <is>
          <t>Semester 2</t>
        </is>
      </c>
      <c r="D89" s="14" t="n">
        <v>46510</v>
      </c>
      <c r="E89" s="12" t="inlineStr">
        <is>
          <t>Senin</t>
        </is>
      </c>
      <c r="F89" s="13" t="inlineStr">
        <is>
          <t>#SeninStarter</t>
        </is>
      </c>
      <c r="G89" s="13" t="inlineStr">
        <is>
          <t>Lulus dengan Bermakna</t>
        </is>
      </c>
      <c r="H89" s="13" t="inlineStr">
        <is>
          <t>Hardiknas (2 Mei); Penetapan Kelulusan (3 Mei); Kenaikan Isa Al Masih (6 Mei)</t>
        </is>
      </c>
      <c r="I89" s="11" t="inlineStr">
        <is>
          <t>Karier</t>
        </is>
      </c>
      <c r="J89" s="12" t="inlineStr">
        <is>
          <t>Single Image</t>
        </is>
      </c>
      <c r="K89" s="15" t="inlineStr">
        <is>
          <t>Selamat Lulus, Angkatan 2027!</t>
        </is>
      </c>
      <c r="L89" s="13" t="inlineStr">
        <is>
          <t>Ucapan kelulusan dari Tim BK • Sentuhan Hardiknas: 'Belajar tidak berhenti di sini'</t>
        </is>
      </c>
      <c r="M89" s="13" t="inlineStr">
        <is>
          <t>Tulis rencanamu setelah lulus</t>
        </is>
      </c>
      <c r="N89" s="13" t="inlineStr">
        <is>
          <t>Seluruh guru</t>
        </is>
      </c>
      <c r="O89" s="12" t="inlineStr">
        <is>
          <t>Ide</t>
        </is>
      </c>
      <c r="P89" s="13" t="inlineStr"/>
    </row>
    <row r="90">
      <c r="A90" s="12" t="n">
        <v>86</v>
      </c>
      <c r="B90" s="12" t="n">
        <v>29</v>
      </c>
      <c r="C90" s="13" t="inlineStr">
        <is>
          <t>Semester 2</t>
        </is>
      </c>
      <c r="D90" s="14" t="n">
        <v>46512</v>
      </c>
      <c r="E90" s="12" t="inlineStr">
        <is>
          <t>Rabu</t>
        </is>
      </c>
      <c r="F90" s="13" t="inlineStr">
        <is>
          <t>#RabuRuangAman</t>
        </is>
      </c>
      <c r="G90" s="13" t="inlineStr">
        <is>
          <t>Lulus dengan Bermakna</t>
        </is>
      </c>
      <c r="H90" s="13" t="inlineStr">
        <is>
          <t>Hardiknas (2 Mei); Penetapan Kelulusan (3 Mei); Kenaikan Isa Al Masih (6 Mei)</t>
        </is>
      </c>
      <c r="I90" s="10" t="inlineStr">
        <is>
          <t>Sosial</t>
        </is>
      </c>
      <c r="J90" s="12" t="inlineStr">
        <is>
          <t>Carousel</t>
        </is>
      </c>
      <c r="K90" s="15" t="inlineStr">
        <is>
          <t>Rayakan Kelulusan Tanpa Coret-coret &amp; Konvoi</t>
        </is>
      </c>
      <c r="L90" s="13" t="inlineStr">
        <is>
          <t>Risiko konvoi &amp; coret seragam • 6 ide selebrasi bermakna: donasi seragam, surat untuk guru, foto angkatan, syukuran, bakti sosial, kapsul waktu</t>
        </is>
      </c>
      <c r="M90" s="13" t="inlineStr">
        <is>
          <t>Ide selebrasi angkatanmu apa?</t>
        </is>
      </c>
      <c r="N90" s="13" t="inlineStr">
        <is>
          <t>OSIS &amp; Kesiswaan</t>
        </is>
      </c>
      <c r="O90" s="12" t="inlineStr">
        <is>
          <t>Ide</t>
        </is>
      </c>
      <c r="P90" s="13" t="inlineStr"/>
    </row>
    <row r="91">
      <c r="A91" s="12" t="n">
        <v>87</v>
      </c>
      <c r="B91" s="12" t="n">
        <v>29</v>
      </c>
      <c r="C91" s="13" t="inlineStr">
        <is>
          <t>Semester 2</t>
        </is>
      </c>
      <c r="D91" s="14" t="n">
        <v>46514</v>
      </c>
      <c r="E91" s="12" t="inlineStr">
        <is>
          <t>Jumat</t>
        </is>
      </c>
      <c r="F91" s="13" t="inlineStr">
        <is>
          <t>#JumatNgobrolBK</t>
        </is>
      </c>
      <c r="G91" s="13" t="inlineStr">
        <is>
          <t>Lulus dengan Bermakna</t>
        </is>
      </c>
      <c r="H91" s="13" t="inlineStr">
        <is>
          <t>Hardiknas (2 Mei); Penetapan Kelulusan (3 Mei); Kenaikan Isa Al Masih (6 Mei)</t>
        </is>
      </c>
      <c r="I91" s="9" t="inlineStr">
        <is>
          <t>Pribadi</t>
        </is>
      </c>
      <c r="J91" s="12" t="inlineStr">
        <is>
          <t>Carousel</t>
        </is>
      </c>
      <c r="K91" s="15" t="inlineStr">
        <is>
          <t>Lulus Tapi Masih Bingung? Itu Normal</t>
        </is>
      </c>
      <c r="L91" s="13" t="inlineStr">
        <is>
          <t>Kecemasan pasca-lulus itu umum • Jangan bandingkan timeline • Langkah kecil: eksplorasi, kursus, kerja paruh waktu • BK tetap terbuka untuk alumni</t>
        </is>
      </c>
      <c r="M91" s="13" t="inlineStr">
        <is>
          <t>Kamu tidak tertinggal 🤍</t>
        </is>
      </c>
      <c r="N91" s="13" t="inlineStr">
        <is>
          <t>-</t>
        </is>
      </c>
      <c r="O91" s="12" t="inlineStr">
        <is>
          <t>Ide</t>
        </is>
      </c>
      <c r="P91" s="13" t="inlineStr"/>
    </row>
    <row r="92">
      <c r="A92" s="12" t="n">
        <v>88</v>
      </c>
      <c r="B92" s="12" t="n">
        <v>30</v>
      </c>
      <c r="C92" s="13" t="inlineStr">
        <is>
          <t>Semester 2</t>
        </is>
      </c>
      <c r="D92" s="14" t="n">
        <v>46517</v>
      </c>
      <c r="E92" s="12" t="inlineStr">
        <is>
          <t>Senin</t>
        </is>
      </c>
      <c r="F92" s="13" t="inlineStr">
        <is>
          <t>#SeninStarter</t>
        </is>
      </c>
      <c r="G92" s="13" t="inlineStr">
        <is>
          <t>Siap Dunia Kerja &amp; Kampus</t>
        </is>
      </c>
      <c r="H92" s="13" t="inlineStr">
        <is>
          <t>Masa transisi pasca-kelulusan kelas XII</t>
        </is>
      </c>
      <c r="I92" s="11" t="inlineStr">
        <is>
          <t>Karier</t>
        </is>
      </c>
      <c r="J92" s="12" t="inlineStr">
        <is>
          <t>Carousel</t>
        </is>
      </c>
      <c r="K92" s="15" t="inlineStr">
        <is>
          <t>CV Pertama untuk Lulusan SMA: Template &amp; Contoh</t>
        </is>
      </c>
      <c r="L92" s="13" t="inlineStr">
        <is>
          <t>Struktur CV sederhana • Isi pengalaman organisasi/ekskul/lomba • Tulis skill dengan jujur • Kesalahan umum • Contoh CV 1 halaman</t>
        </is>
      </c>
      <c r="M92" s="13" t="inlineStr">
        <is>
          <t>Download template di link bio</t>
        </is>
      </c>
      <c r="N92" s="13" t="inlineStr">
        <is>
          <t>-</t>
        </is>
      </c>
      <c r="O92" s="12" t="inlineStr">
        <is>
          <t>Ide</t>
        </is>
      </c>
      <c r="P92" s="13" t="inlineStr"/>
    </row>
    <row r="93">
      <c r="A93" s="12" t="n">
        <v>89</v>
      </c>
      <c r="B93" s="12" t="n">
        <v>30</v>
      </c>
      <c r="C93" s="13" t="inlineStr">
        <is>
          <t>Semester 2</t>
        </is>
      </c>
      <c r="D93" s="14" t="n">
        <v>46519</v>
      </c>
      <c r="E93" s="12" t="inlineStr">
        <is>
          <t>Rabu</t>
        </is>
      </c>
      <c r="F93" s="13" t="inlineStr">
        <is>
          <t>#RabuRuangAman</t>
        </is>
      </c>
      <c r="G93" s="13" t="inlineStr">
        <is>
          <t>Siap Dunia Kerja &amp; Kampus</t>
        </is>
      </c>
      <c r="H93" s="13" t="inlineStr">
        <is>
          <t>Masa transisi pasca-kelulusan kelas XII</t>
        </is>
      </c>
      <c r="I93" s="11" t="inlineStr">
        <is>
          <t>Karier</t>
        </is>
      </c>
      <c r="J93" s="12" t="inlineStr">
        <is>
          <t>Carousel</t>
        </is>
      </c>
      <c r="K93" s="15" t="inlineStr">
        <is>
          <t>Waspada Lowongan Kerja Palsu &amp; Penipuan Kerja ke Luar Negeri</t>
        </is>
      </c>
      <c r="L93" s="13" t="inlineStr">
        <is>
          <t>Ciri lowongan palsu (gaji tak masuk akal, bayar dulu) • Modus perdagangan orang (TPPO) • Cek perusahaan • Jangan serahkan dokumen asli • Lapor bila curiga</t>
        </is>
      </c>
      <c r="M93" s="13" t="inlineStr">
        <is>
          <t>Share ke keluarga &amp; teman</t>
        </is>
      </c>
      <c r="N93" s="13" t="inlineStr">
        <is>
          <t>-</t>
        </is>
      </c>
      <c r="O93" s="12" t="inlineStr">
        <is>
          <t>Ide</t>
        </is>
      </c>
      <c r="P93" s="13" t="inlineStr"/>
    </row>
    <row r="94">
      <c r="A94" s="12" t="n">
        <v>90</v>
      </c>
      <c r="B94" s="12" t="n">
        <v>30</v>
      </c>
      <c r="C94" s="13" t="inlineStr">
        <is>
          <t>Semester 2</t>
        </is>
      </c>
      <c r="D94" s="14" t="n">
        <v>46521</v>
      </c>
      <c r="E94" s="12" t="inlineStr">
        <is>
          <t>Jumat</t>
        </is>
      </c>
      <c r="F94" s="13" t="inlineStr">
        <is>
          <t>#JumatNgobrolBK</t>
        </is>
      </c>
      <c r="G94" s="13" t="inlineStr">
        <is>
          <t>Siap Dunia Kerja &amp; Kampus</t>
        </is>
      </c>
      <c r="H94" s="13" t="inlineStr">
        <is>
          <t>Masa transisi pasca-kelulusan kelas XII</t>
        </is>
      </c>
      <c r="I94" s="11" t="inlineStr">
        <is>
          <t>Karier</t>
        </is>
      </c>
      <c r="J94" s="12" t="inlineStr">
        <is>
          <t>Reels</t>
        </is>
      </c>
      <c r="K94" s="15" t="inlineStr">
        <is>
          <t>Simulasi Wawancara: 5 Pertanyaan yang Sering Muncul</t>
        </is>
      </c>
      <c r="L94" s="13" t="inlineStr">
        <is>
          <t>'Ceritakan tentang dirimu' • Kelebihan &amp; kekurangan • Kenapa memilih ini • Contoh jawaban singkat</t>
        </is>
      </c>
      <c r="M94" s="13" t="inlineStr">
        <is>
          <t>Pertanyaan wawancara yang bikin kamu deg-degan?</t>
        </is>
      </c>
      <c r="N94" s="13" t="inlineStr">
        <is>
          <t>Alumni / praktisi HRD</t>
        </is>
      </c>
      <c r="O94" s="12" t="inlineStr">
        <is>
          <t>Ide</t>
        </is>
      </c>
      <c r="P94" s="13" t="inlineStr"/>
    </row>
    <row r="95">
      <c r="A95" s="12" t="n">
        <v>91</v>
      </c>
      <c r="B95" s="12" t="n">
        <v>31</v>
      </c>
      <c r="C95" s="13" t="inlineStr">
        <is>
          <t>Semester 2</t>
        </is>
      </c>
      <c r="D95" s="14" t="n">
        <v>46524</v>
      </c>
      <c r="E95" s="12" t="inlineStr">
        <is>
          <t>Senin</t>
        </is>
      </c>
      <c r="F95" s="13" t="inlineStr">
        <is>
          <t>#SeninStarter</t>
        </is>
      </c>
      <c r="G95" s="13" t="inlineStr">
        <is>
          <t>Bangkit &amp; Berbagi</t>
        </is>
      </c>
      <c r="H95" s="13" t="inlineStr">
        <is>
          <t>Idul Adha (17 Mei); Waisak (16 Mei); Hari Kebangkitan Nasional (20 Mei)</t>
        </is>
      </c>
      <c r="I95" s="10" t="inlineStr">
        <is>
          <t>Sosial</t>
        </is>
      </c>
      <c r="J95" s="12" t="inlineStr">
        <is>
          <t>Single Image</t>
        </is>
      </c>
      <c r="K95" s="15" t="inlineStr">
        <is>
          <t>Selamat Idul Adha 1448 H: Belajar Ikhlas &amp; Berbagi</t>
        </is>
      </c>
      <c r="L95" s="13" t="inlineStr">
        <is>
          <t>Ucapan Idul Adha • Refleksi: empati dan berbagi dengan sesama</t>
        </is>
      </c>
      <c r="M95" s="13" t="inlineStr">
        <is>
          <t>-</t>
        </is>
      </c>
      <c r="N95" s="13" t="inlineStr">
        <is>
          <t>Rohis</t>
        </is>
      </c>
      <c r="O95" s="12" t="inlineStr">
        <is>
          <t>Ide</t>
        </is>
      </c>
      <c r="P95" s="13" t="inlineStr"/>
    </row>
    <row r="96">
      <c r="A96" s="12" t="n">
        <v>92</v>
      </c>
      <c r="B96" s="12" t="n">
        <v>31</v>
      </c>
      <c r="C96" s="13" t="inlineStr">
        <is>
          <t>Semester 2</t>
        </is>
      </c>
      <c r="D96" s="14" t="n">
        <v>46526</v>
      </c>
      <c r="E96" s="12" t="inlineStr">
        <is>
          <t>Rabu</t>
        </is>
      </c>
      <c r="F96" s="13" t="inlineStr">
        <is>
          <t>#RabuRuangAman</t>
        </is>
      </c>
      <c r="G96" s="13" t="inlineStr">
        <is>
          <t>Bangkit &amp; Berbagi</t>
        </is>
      </c>
      <c r="H96" s="13" t="inlineStr">
        <is>
          <t>Idul Adha (17 Mei); Waisak (16 Mei); Hari Kebangkitan Nasional (20 Mei)</t>
        </is>
      </c>
      <c r="I96" s="7" t="inlineStr">
        <is>
          <t>Belajar</t>
        </is>
      </c>
      <c r="J96" s="12" t="inlineStr">
        <is>
          <t>Carousel</t>
        </is>
      </c>
      <c r="K96" s="15" t="inlineStr">
        <is>
          <t>Kebangkitan Dimulai dari Diri: Lawan Prokrastinasi dengan Aturan 2 Menit</t>
        </is>
      </c>
      <c r="L96" s="13" t="inlineStr">
        <is>
          <t>Kenapa kita menunda (bukan malas, tapi menghindari rasa tidak nyaman) • Aturan 2 menit • Pecah tugas jadi kecil • Hadiah kecil setelah selesai</t>
        </is>
      </c>
      <c r="M96" s="13" t="inlineStr">
        <is>
          <t>Tugas apa yang mau kamu mulai hari ini?</t>
        </is>
      </c>
      <c r="N96" s="13" t="inlineStr">
        <is>
          <t>-</t>
        </is>
      </c>
      <c r="O96" s="12" t="inlineStr">
        <is>
          <t>Ide</t>
        </is>
      </c>
      <c r="P96" s="13" t="inlineStr"/>
    </row>
    <row r="97">
      <c r="A97" s="12" t="n">
        <v>93</v>
      </c>
      <c r="B97" s="12" t="n">
        <v>31</v>
      </c>
      <c r="C97" s="13" t="inlineStr">
        <is>
          <t>Semester 2</t>
        </is>
      </c>
      <c r="D97" s="14" t="n">
        <v>46528</v>
      </c>
      <c r="E97" s="12" t="inlineStr">
        <is>
          <t>Jumat</t>
        </is>
      </c>
      <c r="F97" s="13" t="inlineStr">
        <is>
          <t>#JumatNgobrolBK</t>
        </is>
      </c>
      <c r="G97" s="13" t="inlineStr">
        <is>
          <t>Bangkit &amp; Berbagi</t>
        </is>
      </c>
      <c r="H97" s="13" t="inlineStr">
        <is>
          <t>Idul Adha (17 Mei); Waisak (16 Mei); Hari Kebangkitan Nasional (20 Mei)</t>
        </is>
      </c>
      <c r="I97" s="11" t="inlineStr">
        <is>
          <t>Karier</t>
        </is>
      </c>
      <c r="J97" s="12" t="inlineStr">
        <is>
          <t>Carousel</t>
        </is>
      </c>
      <c r="K97" s="15" t="inlineStr">
        <is>
          <t>Kelas X: Kenali Mapel Pilihan Fase F &amp; Hubungannya dengan Kuliah</t>
        </is>
      </c>
      <c r="L97" s="13" t="inlineStr">
        <is>
          <t>Apa itu mapel pilihan di kelas XI–XII • Contoh paket mapel &amp; prodi terkait • Pentingnya konsisten dengan rencana karier • Jadwal konsultasi BK</t>
        </is>
      </c>
      <c r="M97" s="13" t="inlineStr">
        <is>
          <t>Komen prodi impianmu, kami bantu petakan mapelnya</t>
        </is>
      </c>
      <c r="N97" s="13" t="inlineStr">
        <is>
          <t>Wakasek Kurikulum</t>
        </is>
      </c>
      <c r="O97" s="12" t="inlineStr">
        <is>
          <t>Ide</t>
        </is>
      </c>
      <c r="P97" s="13" t="inlineStr"/>
    </row>
    <row r="98">
      <c r="A98" s="12" t="n">
        <v>94</v>
      </c>
      <c r="B98" s="12" t="n">
        <v>32</v>
      </c>
      <c r="C98" s="13" t="inlineStr">
        <is>
          <t>Semester 2</t>
        </is>
      </c>
      <c r="D98" s="14" t="n">
        <v>46531</v>
      </c>
      <c r="E98" s="12" t="inlineStr">
        <is>
          <t>Senin</t>
        </is>
      </c>
      <c r="F98" s="13" t="inlineStr">
        <is>
          <t>#SeninStarter</t>
        </is>
      </c>
      <c r="G98" s="13" t="inlineStr">
        <is>
          <t>Pilih Mapel Pilihan dengan Bijak</t>
        </is>
      </c>
      <c r="H98" s="13" t="inlineStr">
        <is>
          <t>Persiapan pemilihan mapel pilihan TA 2027/2028; menjelang ASAT</t>
        </is>
      </c>
      <c r="I98" s="11" t="inlineStr">
        <is>
          <t>Karier</t>
        </is>
      </c>
      <c r="J98" s="12" t="inlineStr">
        <is>
          <t>Carousel</t>
        </is>
      </c>
      <c r="K98" s="15" t="inlineStr">
        <is>
          <t>4 Langkah Memilih Mapel Pilihan</t>
        </is>
      </c>
      <c r="L98" s="13" t="inlineStr">
        <is>
          <t>Kenali minat &amp; bakat (hasil tes BK) • Cek mapel pendukung prodi tujuan • Lihat nilai rapor • Diskusi dengan orang tua &amp; BK</t>
        </is>
      </c>
      <c r="M98" s="13" t="inlineStr">
        <is>
          <t>Isi form konsultasi di link bio</t>
        </is>
      </c>
      <c r="N98" s="13" t="inlineStr">
        <is>
          <t>Wakasek Kurikulum &amp; Wali Kelas</t>
        </is>
      </c>
      <c r="O98" s="12" t="inlineStr">
        <is>
          <t>Ide</t>
        </is>
      </c>
      <c r="P98" s="13" t="inlineStr"/>
    </row>
    <row r="99">
      <c r="A99" s="12" t="n">
        <v>95</v>
      </c>
      <c r="B99" s="12" t="n">
        <v>32</v>
      </c>
      <c r="C99" s="13" t="inlineStr">
        <is>
          <t>Semester 2</t>
        </is>
      </c>
      <c r="D99" s="14" t="n">
        <v>46533</v>
      </c>
      <c r="E99" s="12" t="inlineStr">
        <is>
          <t>Rabu</t>
        </is>
      </c>
      <c r="F99" s="13" t="inlineStr">
        <is>
          <t>#RabuRuangAman</t>
        </is>
      </c>
      <c r="G99" s="13" t="inlineStr">
        <is>
          <t>Pilih Mapel Pilihan dengan Bijak</t>
        </is>
      </c>
      <c r="H99" s="13" t="inlineStr">
        <is>
          <t>Persiapan pemilihan mapel pilihan TA 2027/2028; menjelang ASAT</t>
        </is>
      </c>
      <c r="I99" s="11" t="inlineStr">
        <is>
          <t>Karier</t>
        </is>
      </c>
      <c r="J99" s="12" t="inlineStr">
        <is>
          <t>Reels</t>
        </is>
      </c>
      <c r="K99" s="15" t="inlineStr">
        <is>
          <t>'Salah Pilih Mapel = Masa Depan Suram?' Mitos!</t>
        </is>
      </c>
      <c r="L99" s="13" t="inlineStr">
        <is>
          <t>Format mitos-fakta cepat • Masih banyak jalan ke prodi impian • Yang penting: pilihan sadar &amp; konsultasi</t>
        </is>
      </c>
      <c r="M99" s="13" t="inlineStr">
        <is>
          <t>Masih galau? DM kami</t>
        </is>
      </c>
      <c r="N99" s="13" t="inlineStr">
        <is>
          <t>-</t>
        </is>
      </c>
      <c r="O99" s="12" t="inlineStr">
        <is>
          <t>Ide</t>
        </is>
      </c>
      <c r="P99" s="13" t="inlineStr"/>
    </row>
    <row r="100">
      <c r="A100" s="12" t="n">
        <v>96</v>
      </c>
      <c r="B100" s="12" t="n">
        <v>32</v>
      </c>
      <c r="C100" s="13" t="inlineStr">
        <is>
          <t>Semester 2</t>
        </is>
      </c>
      <c r="D100" s="14" t="n">
        <v>46535</v>
      </c>
      <c r="E100" s="12" t="inlineStr">
        <is>
          <t>Jumat</t>
        </is>
      </c>
      <c r="F100" s="13" t="inlineStr">
        <is>
          <t>#JumatNgobrolBK</t>
        </is>
      </c>
      <c r="G100" s="13" t="inlineStr">
        <is>
          <t>Pilih Mapel Pilihan dengan Bijak</t>
        </is>
      </c>
      <c r="H100" s="13" t="inlineStr">
        <is>
          <t>Persiapan pemilihan mapel pilihan TA 2027/2028; menjelang ASAT</t>
        </is>
      </c>
      <c r="I100" s="7" t="inlineStr">
        <is>
          <t>Belajar</t>
        </is>
      </c>
      <c r="J100" s="12" t="inlineStr">
        <is>
          <t>Infografis</t>
        </is>
      </c>
      <c r="K100" s="15" t="inlineStr">
        <is>
          <t>Persiapan ASAT dengan Metode Lampu Lalu Lintas</t>
        </is>
      </c>
      <c r="L100" s="13" t="inlineStr">
        <is>
          <t>Merah: materi belum paham (prioritas) • Kuning: setengah paham • Hijau: sudah paham (review ringan) • Contoh tabel per mapel</t>
        </is>
      </c>
      <c r="M100" s="13" t="inlineStr">
        <is>
          <t>Save &amp; warnai materimu</t>
        </is>
      </c>
      <c r="N100" s="13" t="inlineStr">
        <is>
          <t>-</t>
        </is>
      </c>
      <c r="O100" s="12" t="inlineStr">
        <is>
          <t>Ide</t>
        </is>
      </c>
      <c r="P100" s="13" t="inlineStr"/>
    </row>
    <row r="101">
      <c r="A101" s="12" t="n">
        <v>97</v>
      </c>
      <c r="B101" s="12" t="n">
        <v>33</v>
      </c>
      <c r="C101" s="13" t="inlineStr">
        <is>
          <t>Semester 2</t>
        </is>
      </c>
      <c r="D101" s="14" t="n">
        <v>46538</v>
      </c>
      <c r="E101" s="12" t="inlineStr">
        <is>
          <t>Senin</t>
        </is>
      </c>
      <c r="F101" s="13" t="inlineStr">
        <is>
          <t>#SeninStarter</t>
        </is>
      </c>
      <c r="G101" s="13" t="inlineStr">
        <is>
          <t>Sehat Tanpa Asap &amp; Narkoba</t>
        </is>
      </c>
      <c r="H101" s="13" t="inlineStr">
        <is>
          <t>Hari Tanpa Tembakau Sedunia (31 Mei); Hari Lahir Pancasila (1 Jun)</t>
        </is>
      </c>
      <c r="I101" s="9" t="inlineStr">
        <is>
          <t>Pribadi</t>
        </is>
      </c>
      <c r="J101" s="12" t="inlineStr">
        <is>
          <t>Carousel</t>
        </is>
      </c>
      <c r="K101" s="15" t="inlineStr">
        <is>
          <t>Vape 'Lebih Aman'? Mitos vs Fakta</t>
        </is>
      </c>
      <c r="L101" s="13" t="inlineStr">
        <is>
          <t>Kandungan nikotin &amp; zat kimia • Dampak pada paru &amp; otak remaja • Kecanduan nikotin • Liquid vape yang dicampur narkoba • Cara berhenti &amp; cari bantuan</t>
        </is>
      </c>
      <c r="M101" s="13" t="inlineStr">
        <is>
          <t>Share ke teman yang masih nge-vape</t>
        </is>
      </c>
      <c r="N101" s="13" t="inlineStr">
        <is>
          <t>Puskesmas Cigalontang / BNNK Tasikmalaya</t>
        </is>
      </c>
      <c r="O101" s="12" t="inlineStr">
        <is>
          <t>Ide</t>
        </is>
      </c>
      <c r="P101" s="13" t="inlineStr"/>
    </row>
    <row r="102">
      <c r="A102" s="12" t="n">
        <v>98</v>
      </c>
      <c r="B102" s="12" t="n">
        <v>33</v>
      </c>
      <c r="C102" s="13" t="inlineStr">
        <is>
          <t>Semester 2</t>
        </is>
      </c>
      <c r="D102" s="14" t="n">
        <v>46540</v>
      </c>
      <c r="E102" s="12" t="inlineStr">
        <is>
          <t>Rabu</t>
        </is>
      </c>
      <c r="F102" s="13" t="inlineStr">
        <is>
          <t>#RabuRuangAman</t>
        </is>
      </c>
      <c r="G102" s="13" t="inlineStr">
        <is>
          <t>Sehat Tanpa Asap &amp; Narkoba</t>
        </is>
      </c>
      <c r="H102" s="13" t="inlineStr">
        <is>
          <t>Hari Tanpa Tembakau Sedunia (31 Mei); Hari Lahir Pancasila (1 Jun)</t>
        </is>
      </c>
      <c r="I102" s="10" t="inlineStr">
        <is>
          <t>Sosial</t>
        </is>
      </c>
      <c r="J102" s="12" t="inlineStr">
        <is>
          <t>Carousel</t>
        </is>
      </c>
      <c r="K102" s="15" t="inlineStr">
        <is>
          <t>Pancasila di Tongkrongan: Menolak Ajakan Negatif dengan Asertif</t>
        </is>
      </c>
      <c r="L102" s="13" t="inlineStr">
        <is>
          <t>Peer pressure itu nyata • Teknik bilang 'tidak' (broken record, alasan singkat, tawarkan alternatif) • Pilih circle yang mendukung • Nilai Pancasila dalam pergaulan</t>
        </is>
      </c>
      <c r="M102" s="13" t="inlineStr">
        <is>
          <t>Kalimat penolakan andalanmu apa?</t>
        </is>
      </c>
      <c r="N102" s="13" t="inlineStr">
        <is>
          <t>-</t>
        </is>
      </c>
      <c r="O102" s="12" t="inlineStr">
        <is>
          <t>Ide</t>
        </is>
      </c>
      <c r="P102" s="13" t="inlineStr"/>
    </row>
    <row r="103">
      <c r="A103" s="12" t="n">
        <v>99</v>
      </c>
      <c r="B103" s="12" t="n">
        <v>33</v>
      </c>
      <c r="C103" s="13" t="inlineStr">
        <is>
          <t>Semester 2</t>
        </is>
      </c>
      <c r="D103" s="14" t="n">
        <v>46542</v>
      </c>
      <c r="E103" s="12" t="inlineStr">
        <is>
          <t>Jumat</t>
        </is>
      </c>
      <c r="F103" s="13" t="inlineStr">
        <is>
          <t>#JumatNgobrolBK</t>
        </is>
      </c>
      <c r="G103" s="13" t="inlineStr">
        <is>
          <t>Sehat Tanpa Asap &amp; Narkoba</t>
        </is>
      </c>
      <c r="H103" s="13" t="inlineStr">
        <is>
          <t>Hari Tanpa Tembakau Sedunia (31 Mei); Hari Lahir Pancasila (1 Jun)</t>
        </is>
      </c>
      <c r="I103" s="7" t="inlineStr">
        <is>
          <t>Belajar</t>
        </is>
      </c>
      <c r="J103" s="12" t="inlineStr">
        <is>
          <t>Single Image</t>
        </is>
      </c>
      <c r="K103" s="15" t="inlineStr">
        <is>
          <t>H-3 ASAT: Tidak Harus Sempurna, Cukup Siap</t>
        </is>
      </c>
      <c r="L103" s="13" t="inlineStr">
        <is>
          <t>Quote penyemangat • 3 pengingat: tidur, review materi merah, jujur</t>
        </is>
      </c>
      <c r="M103" s="13" t="inlineStr">
        <is>
          <t>Tag teman belajarmu</t>
        </is>
      </c>
      <c r="N103" s="13" t="inlineStr">
        <is>
          <t>-</t>
        </is>
      </c>
      <c r="O103" s="12" t="inlineStr">
        <is>
          <t>Ide</t>
        </is>
      </c>
      <c r="P103" s="13" t="inlineStr"/>
    </row>
    <row r="104">
      <c r="A104" s="12" t="n">
        <v>100</v>
      </c>
      <c r="B104" s="12" t="n">
        <v>34</v>
      </c>
      <c r="C104" s="13" t="inlineStr">
        <is>
          <t>Semester 2</t>
        </is>
      </c>
      <c r="D104" s="14" t="n">
        <v>46545</v>
      </c>
      <c r="E104" s="12" t="inlineStr">
        <is>
          <t>Senin</t>
        </is>
      </c>
      <c r="F104" s="13" t="inlineStr">
        <is>
          <t>#SeninStarter</t>
        </is>
      </c>
      <c r="G104" s="13" t="inlineStr">
        <is>
          <t>Selesaikan dengan Baik</t>
        </is>
      </c>
      <c r="H104" s="13" t="inlineStr">
        <is>
          <t>ASAT (7–11 Jun); Tahun Baru Islam 1449 H (6 Jun)</t>
        </is>
      </c>
      <c r="I104" s="9" t="inlineStr">
        <is>
          <t>Pribadi</t>
        </is>
      </c>
      <c r="J104" s="12" t="inlineStr">
        <is>
          <t>Single Image</t>
        </is>
      </c>
      <c r="K104" s="15" t="inlineStr">
        <is>
          <t>Tahun Baru Islam &amp; Semangat ASAT</t>
        </is>
      </c>
      <c r="L104" s="13" t="inlineStr">
        <is>
          <t>Ucapan Tahun Baru Islam 1449 H • Hijrah kecil: dari menunda jadi memulai • Semangat ASAT</t>
        </is>
      </c>
      <c r="M104" s="13" t="inlineStr">
        <is>
          <t>-</t>
        </is>
      </c>
      <c r="N104" s="13" t="inlineStr">
        <is>
          <t>Rohis</t>
        </is>
      </c>
      <c r="O104" s="12" t="inlineStr">
        <is>
          <t>Ide</t>
        </is>
      </c>
      <c r="P104" s="13" t="inlineStr"/>
    </row>
    <row r="105">
      <c r="A105" s="12" t="n">
        <v>101</v>
      </c>
      <c r="B105" s="12" t="n">
        <v>34</v>
      </c>
      <c r="C105" s="13" t="inlineStr">
        <is>
          <t>Semester 2</t>
        </is>
      </c>
      <c r="D105" s="14" t="n">
        <v>46547</v>
      </c>
      <c r="E105" s="12" t="inlineStr">
        <is>
          <t>Rabu</t>
        </is>
      </c>
      <c r="F105" s="13" t="inlineStr">
        <is>
          <t>#RabuRuangAman</t>
        </is>
      </c>
      <c r="G105" s="13" t="inlineStr">
        <is>
          <t>Selesaikan dengan Baik</t>
        </is>
      </c>
      <c r="H105" s="13" t="inlineStr">
        <is>
          <t>ASAT (7–11 Jun); Tahun Baru Islam 1449 H (6 Jun)</t>
        </is>
      </c>
      <c r="I105" s="7" t="inlineStr">
        <is>
          <t>Belajar</t>
        </is>
      </c>
      <c r="J105" s="12" t="inlineStr">
        <is>
          <t>Reels</t>
        </is>
      </c>
      <c r="K105" s="15" t="inlineStr">
        <is>
          <t>Tips 60 Detik: Kerjakan Soal Mudah Dulu</t>
        </is>
      </c>
      <c r="L105" s="13" t="inlineStr">
        <is>
          <t>Scan semua soal • Kerjakan yang yakin • Tandai yang ragu • Kembali di akhir • Cek ulang identitas &amp; jawaban</t>
        </is>
      </c>
      <c r="M105" s="13" t="inlineStr">
        <is>
          <t>Save sebelum ujian besok</t>
        </is>
      </c>
      <c r="N105" s="13" t="inlineStr">
        <is>
          <t>-</t>
        </is>
      </c>
      <c r="O105" s="12" t="inlineStr">
        <is>
          <t>Ide</t>
        </is>
      </c>
      <c r="P105" s="13" t="inlineStr"/>
    </row>
    <row r="106">
      <c r="A106" s="12" t="n">
        <v>102</v>
      </c>
      <c r="B106" s="12" t="n">
        <v>34</v>
      </c>
      <c r="C106" s="13" t="inlineStr">
        <is>
          <t>Semester 2</t>
        </is>
      </c>
      <c r="D106" s="14" t="n">
        <v>46549</v>
      </c>
      <c r="E106" s="12" t="inlineStr">
        <is>
          <t>Jumat</t>
        </is>
      </c>
      <c r="F106" s="13" t="inlineStr">
        <is>
          <t>#JumatNgobrolBK</t>
        </is>
      </c>
      <c r="G106" s="13" t="inlineStr">
        <is>
          <t>Selesaikan dengan Baik</t>
        </is>
      </c>
      <c r="H106" s="13" t="inlineStr">
        <is>
          <t>ASAT (7–11 Jun); Tahun Baru Islam 1449 H (6 Jun)</t>
        </is>
      </c>
      <c r="I106" s="9" t="inlineStr">
        <is>
          <t>Pribadi</t>
        </is>
      </c>
      <c r="J106" s="12" t="inlineStr">
        <is>
          <t>Carousel</t>
        </is>
      </c>
      <c r="K106" s="15" t="inlineStr">
        <is>
          <t>Habis Ujian, Otak Lelah? Kenali Burnout Akademik</t>
        </is>
      </c>
      <c r="L106" s="13" t="inlineStr">
        <is>
          <t>Tanda burnout (lelah terus, sinis, hilang motivasi) • Beda capek biasa &amp; burnout • Cara pulih: istirahat, hobi, terhubung • Kapan perlu ke BK</t>
        </is>
      </c>
      <c r="M106" s="13" t="inlineStr">
        <is>
          <t>Kamu sedang di level capek berapa? (1–10)</t>
        </is>
      </c>
      <c r="N106" s="13" t="inlineStr">
        <is>
          <t>-</t>
        </is>
      </c>
      <c r="O106" s="12" t="inlineStr">
        <is>
          <t>Ide</t>
        </is>
      </c>
      <c r="P106" s="13" t="inlineStr"/>
    </row>
    <row r="107">
      <c r="A107" s="12" t="n">
        <v>103</v>
      </c>
      <c r="B107" s="12" t="n">
        <v>35</v>
      </c>
      <c r="C107" s="13" t="inlineStr">
        <is>
          <t>Semester 2</t>
        </is>
      </c>
      <c r="D107" s="14" t="n">
        <v>46552</v>
      </c>
      <c r="E107" s="12" t="inlineStr">
        <is>
          <t>Senin</t>
        </is>
      </c>
      <c r="F107" s="13" t="inlineStr">
        <is>
          <t>#SeninStarter</t>
        </is>
      </c>
      <c r="G107" s="13" t="inlineStr">
        <is>
          <t>Refleksi Satu Tahun</t>
        </is>
      </c>
      <c r="H107" s="13" t="inlineStr">
        <is>
          <t>Pasca-ASAT; classmeeting &amp; pengolahan nilai</t>
        </is>
      </c>
      <c r="I107" s="7" t="inlineStr">
        <is>
          <t>Belajar</t>
        </is>
      </c>
      <c r="J107" s="12" t="inlineStr">
        <is>
          <t>Carousel</t>
        </is>
      </c>
      <c r="K107" s="15" t="inlineStr">
        <is>
          <t>Rapor Refleksi Diri: Apa yang Kamu Banggakan Tahun Ini?</t>
        </is>
      </c>
      <c r="L107" s="13" t="inlineStr">
        <is>
          <t>Template refleksi: pencapaian, tantangan, pelajaran, orang yang membantu, target tahun depan</t>
        </is>
      </c>
      <c r="M107" s="13" t="inlineStr">
        <is>
          <t>Isi di story &amp; tag kami</t>
        </is>
      </c>
      <c r="N107" s="13" t="inlineStr">
        <is>
          <t>-</t>
        </is>
      </c>
      <c r="O107" s="12" t="inlineStr">
        <is>
          <t>Ide</t>
        </is>
      </c>
      <c r="P107" s="13" t="inlineStr"/>
    </row>
    <row r="108">
      <c r="A108" s="12" t="n">
        <v>104</v>
      </c>
      <c r="B108" s="12" t="n">
        <v>35</v>
      </c>
      <c r="C108" s="13" t="inlineStr">
        <is>
          <t>Semester 2</t>
        </is>
      </c>
      <c r="D108" s="14" t="n">
        <v>46554</v>
      </c>
      <c r="E108" s="12" t="inlineStr">
        <is>
          <t>Rabu</t>
        </is>
      </c>
      <c r="F108" s="13" t="inlineStr">
        <is>
          <t>#RabuRuangAman</t>
        </is>
      </c>
      <c r="G108" s="13" t="inlineStr">
        <is>
          <t>Refleksi Satu Tahun</t>
        </is>
      </c>
      <c r="H108" s="13" t="inlineStr">
        <is>
          <t>Pasca-ASAT; classmeeting &amp; pengolahan nilai</t>
        </is>
      </c>
      <c r="I108" s="10" t="inlineStr">
        <is>
          <t>Sosial</t>
        </is>
      </c>
      <c r="J108" s="12" t="inlineStr">
        <is>
          <t>Reels</t>
        </is>
      </c>
      <c r="K108" s="15" t="inlineStr">
        <is>
          <t>Menutup Tahun Ajaran dengan Hubungan Baik</t>
        </is>
      </c>
      <c r="L108" s="13" t="inlineStr">
        <is>
          <t>Minta maaf &amp; memaafkan • Ucapkan terima kasih ke teman &amp; guru • Selesaikan konflik yang tertunda • Jaga pertemanan saat liburan</t>
        </is>
      </c>
      <c r="M108" s="13" t="inlineStr">
        <is>
          <t>Tulis terima kasih untuk seseorang di komentar</t>
        </is>
      </c>
      <c r="N108" s="13" t="inlineStr">
        <is>
          <t>-</t>
        </is>
      </c>
      <c r="O108" s="12" t="inlineStr">
        <is>
          <t>Ide</t>
        </is>
      </c>
      <c r="P108" s="13" t="inlineStr"/>
    </row>
    <row r="109">
      <c r="A109" s="12" t="n">
        <v>105</v>
      </c>
      <c r="B109" s="12" t="n">
        <v>35</v>
      </c>
      <c r="C109" s="13" t="inlineStr">
        <is>
          <t>Semester 2</t>
        </is>
      </c>
      <c r="D109" s="14" t="n">
        <v>46556</v>
      </c>
      <c r="E109" s="12" t="inlineStr">
        <is>
          <t>Jumat</t>
        </is>
      </c>
      <c r="F109" s="13" t="inlineStr">
        <is>
          <t>#JumatNgobrolBK</t>
        </is>
      </c>
      <c r="G109" s="13" t="inlineStr">
        <is>
          <t>Refleksi Satu Tahun</t>
        </is>
      </c>
      <c r="H109" s="13" t="inlineStr">
        <is>
          <t>Pasca-ASAT; classmeeting &amp; pengolahan nilai</t>
        </is>
      </c>
      <c r="I109" s="10" t="inlineStr">
        <is>
          <t>Sosial</t>
        </is>
      </c>
      <c r="J109" s="12" t="inlineStr">
        <is>
          <t>Photo Dump</t>
        </is>
      </c>
      <c r="K109" s="15" t="inlineStr">
        <is>
          <t>Recap Setahun BK SMANRICI</t>
        </is>
      </c>
      <c r="L109" s="13" t="inlineStr">
        <is>
          <t>Photo dump kegiatan BK (klasikal, info karier, kolaborasi) — tanpa wajah siswa tanpa izin • Terima kasih atas kepercayaan siswa</t>
        </is>
      </c>
      <c r="M109" s="13" t="inlineStr">
        <is>
          <t>Konten BK favoritmu tahun ini apa?</t>
        </is>
      </c>
      <c r="N109" s="13" t="inlineStr">
        <is>
          <t>OSIS &amp; Tim Dokumentasi</t>
        </is>
      </c>
      <c r="O109" s="12" t="inlineStr">
        <is>
          <t>Ide</t>
        </is>
      </c>
      <c r="P109" s="13" t="inlineStr"/>
    </row>
    <row r="110">
      <c r="A110" s="12" t="n">
        <v>106</v>
      </c>
      <c r="B110" s="12" t="n">
        <v>36</v>
      </c>
      <c r="C110" s="13" t="inlineStr">
        <is>
          <t>Semester 2</t>
        </is>
      </c>
      <c r="D110" s="14" t="n">
        <v>46559</v>
      </c>
      <c r="E110" s="12" t="inlineStr">
        <is>
          <t>Senin</t>
        </is>
      </c>
      <c r="F110" s="13" t="inlineStr">
        <is>
          <t>#SeninStarter</t>
        </is>
      </c>
      <c r="G110" s="13" t="inlineStr">
        <is>
          <t>Naik Kelas, Naik Level</t>
        </is>
      </c>
      <c r="H110" s="13" t="inlineStr">
        <is>
          <t>Penetapan &amp; Pembagian Rapor (25 Jun); Hari Anti Narkotika Internasional (26 Jun)</t>
        </is>
      </c>
      <c r="I110" s="10" t="inlineStr">
        <is>
          <t>Sosial</t>
        </is>
      </c>
      <c r="J110" s="12" t="inlineStr">
        <is>
          <t>Carousel</t>
        </is>
      </c>
      <c r="K110" s="15" t="inlineStr">
        <is>
          <t>Untuk Orang Tua: 5 Cara Merespons Rapor Anak</t>
        </is>
      </c>
      <c r="L110" s="13" t="inlineStr">
        <is>
          <t>Mulai dari apresiasi usaha • Hindari membandingkan dengan saudara/teman • Tanyakan perasaan anak • Susun target bersama • Libatkan wali kelas/BK bila perlu</t>
        </is>
      </c>
      <c r="M110" s="13" t="inlineStr">
        <is>
          <t>Share ke grup orang tua</t>
        </is>
      </c>
      <c r="N110" s="13" t="inlineStr">
        <is>
          <t>Komite Sekolah / Paguyuban Orang Tua</t>
        </is>
      </c>
      <c r="O110" s="12" t="inlineStr">
        <is>
          <t>Ide</t>
        </is>
      </c>
      <c r="P110" s="13" t="inlineStr"/>
    </row>
    <row r="111">
      <c r="A111" s="12" t="n">
        <v>107</v>
      </c>
      <c r="B111" s="12" t="n">
        <v>36</v>
      </c>
      <c r="C111" s="13" t="inlineStr">
        <is>
          <t>Semester 2</t>
        </is>
      </c>
      <c r="D111" s="14" t="n">
        <v>46561</v>
      </c>
      <c r="E111" s="12" t="inlineStr">
        <is>
          <t>Rabu</t>
        </is>
      </c>
      <c r="F111" s="13" t="inlineStr">
        <is>
          <t>#RabuRuangAman</t>
        </is>
      </c>
      <c r="G111" s="13" t="inlineStr">
        <is>
          <t>Naik Kelas, Naik Level</t>
        </is>
      </c>
      <c r="H111" s="13" t="inlineStr">
        <is>
          <t>Penetapan &amp; Pembagian Rapor (25 Jun); Hari Anti Narkotika Internasional (26 Jun)</t>
        </is>
      </c>
      <c r="I111" s="11" t="inlineStr">
        <is>
          <t>Karier</t>
        </is>
      </c>
      <c r="J111" s="12" t="inlineStr">
        <is>
          <t>Carousel</t>
        </is>
      </c>
      <c r="K111" s="15" t="inlineStr">
        <is>
          <t>Naik ke Kelas XII? Mulai Siapkan Portofolio &amp; Target PTN</t>
        </is>
      </c>
      <c r="L111" s="13" t="inlineStr">
        <is>
          <t>Kumpulkan sertifikat &amp; prestasi • Jaga nilai rapor semester 5 • Mulai eksplorasi prodi &amp; kampus • Latihan soal ringan saat liburan</t>
        </is>
      </c>
      <c r="M111" s="13" t="inlineStr">
        <is>
          <t>Kampus impianmu apa? Komen!</t>
        </is>
      </c>
      <c r="N111" s="13" t="inlineStr">
        <is>
          <t>-</t>
        </is>
      </c>
      <c r="O111" s="12" t="inlineStr">
        <is>
          <t>Ide</t>
        </is>
      </c>
      <c r="P111" s="13" t="inlineStr"/>
    </row>
    <row r="112">
      <c r="A112" s="12" t="n">
        <v>108</v>
      </c>
      <c r="B112" s="12" t="n">
        <v>36</v>
      </c>
      <c r="C112" s="13" t="inlineStr">
        <is>
          <t>Semester 2</t>
        </is>
      </c>
      <c r="D112" s="14" t="n">
        <v>46563</v>
      </c>
      <c r="E112" s="12" t="inlineStr">
        <is>
          <t>Jumat</t>
        </is>
      </c>
      <c r="F112" s="13" t="inlineStr">
        <is>
          <t>#JumatNgobrolBK</t>
        </is>
      </c>
      <c r="G112" s="13" t="inlineStr">
        <is>
          <t>Naik Kelas, Naik Level</t>
        </is>
      </c>
      <c r="H112" s="13" t="inlineStr">
        <is>
          <t>Penetapan &amp; Pembagian Rapor (25 Jun); Hari Anti Narkotika Internasional (26 Jun)</t>
        </is>
      </c>
      <c r="I112" s="9" t="inlineStr">
        <is>
          <t>Pribadi</t>
        </is>
      </c>
      <c r="J112" s="12" t="inlineStr">
        <is>
          <t>Single Image</t>
        </is>
      </c>
      <c r="K112" s="15" t="inlineStr">
        <is>
          <t>Kamu Lebih dari Sekadar Nilai. Selamat Liburan!</t>
        </is>
      </c>
      <c r="L112" s="13" t="inlineStr">
        <is>
          <t>Ucapan pembagian rapor &amp; naik kelas • Pengingat liburan aman &amp; sehat • Info kontak BK selama libur</t>
        </is>
      </c>
      <c r="M112" s="13" t="inlineStr">
        <is>
          <t>Simpan &amp; sampai jumpa tahun ajaran baru</t>
        </is>
      </c>
      <c r="N112" s="13" t="inlineStr">
        <is>
          <t>-</t>
        </is>
      </c>
      <c r="O112" s="12" t="inlineStr">
        <is>
          <t>Ide</t>
        </is>
      </c>
      <c r="P112" s="13" t="inlineStr"/>
    </row>
  </sheetData>
  <autoFilter ref="A4:P112"/>
  <dataValidations count="1">
    <dataValidation sqref="O5:O112" showDropDown="0" showInputMessage="0" showErrorMessage="0" allowBlank="1" type="list">
      <formula1>"Ide,Naskah,Desain,Review,Terjadwal,Terunggah"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22" customWidth="1" min="3" max="3"/>
    <col width="26" customWidth="1" min="4" max="4"/>
    <col width="34" customWidth="1" min="5" max="5"/>
    <col width="30" customWidth="1" min="6" max="6"/>
    <col width="30" customWidth="1" min="7" max="7"/>
    <col width="30" customWidth="1" min="8" max="8"/>
    <col width="44" customWidth="1" min="9" max="9"/>
  </cols>
  <sheetData>
    <row r="1">
      <c r="A1" s="1" t="inlineStr">
        <is>
          <t>TEMA MINGGUAN &amp; STORIES PENDUKUNG</t>
        </is>
      </c>
    </row>
    <row r="3">
      <c r="A3" s="3" t="inlineStr">
        <is>
          <t>Minggu</t>
        </is>
      </c>
      <c r="B3" s="3" t="inlineStr">
        <is>
          <t>Semester</t>
        </is>
      </c>
      <c r="C3" s="3" t="inlineStr">
        <is>
          <t>Periode</t>
        </is>
      </c>
      <c r="D3" s="3" t="inlineStr">
        <is>
          <t>Tema Mingguan</t>
        </is>
      </c>
      <c r="E3" s="3" t="inlineStr">
        <is>
          <t>Momen Kalender</t>
        </is>
      </c>
      <c r="F3" s="3" t="inlineStr">
        <is>
          <t>Senin</t>
        </is>
      </c>
      <c r="G3" s="3" t="inlineStr">
        <is>
          <t>Rabu</t>
        </is>
      </c>
      <c r="H3" s="3" t="inlineStr">
        <is>
          <t>Jumat</t>
        </is>
      </c>
      <c r="I3" s="3" t="inlineStr">
        <is>
          <t>Ide Stories Pendukung</t>
        </is>
      </c>
    </row>
    <row r="4">
      <c r="A4" s="4" t="n">
        <v>1</v>
      </c>
      <c r="B4" s="5" t="inlineStr">
        <is>
          <t>Sisa Semester 1 (Bonus)</t>
        </is>
      </c>
      <c r="C4" s="5" t="inlineStr">
        <is>
          <t>19 Oktober 2026 – 23 Oktober 2026</t>
        </is>
      </c>
      <c r="D4" s="8" t="inlineStr">
        <is>
          <t>Siap TKA, Siap Mental</t>
        </is>
      </c>
      <c r="E4" s="5" t="inlineStr">
        <is>
          <t>Menjelang Prakiraan TKA (26–30 Okt); Bulan Kesehatan Mental</t>
        </is>
      </c>
      <c r="F4" s="5" t="inlineStr">
        <is>
          <t>[Carousel] TKA Itu Apa Sih? 5 Hal yang Wajib Kamu Tahu</t>
        </is>
      </c>
      <c r="G4" s="5" t="inlineStr">
        <is>
          <t>[Reels] POV: H-7 TKA tapi Otak Nge-freeze</t>
        </is>
      </c>
      <c r="H4" s="5" t="inlineStr">
        <is>
          <t>[Single Image] Checklist H-1 TKA</t>
        </is>
      </c>
      <c r="I4" s="5" t="inlineStr">
        <is>
          <t>Polling: 'Mapel pilihan TKA-mu apa?' • Kotak tanya: 'Apa yang paling bikin kamu cemas soal TKA?'</t>
        </is>
      </c>
    </row>
    <row r="5">
      <c r="A5" s="4" t="n">
        <v>2</v>
      </c>
      <c r="B5" s="5" t="inlineStr">
        <is>
          <t>Sisa Semester 1 (Bonus)</t>
        </is>
      </c>
      <c r="C5" s="5" t="inlineStr">
        <is>
          <t>26 Oktober 2026 – 30 Oktober 2026</t>
        </is>
      </c>
      <c r="D5" s="8" t="inlineStr">
        <is>
          <t>Pemuda Tangguh, Ujian Tenang</t>
        </is>
      </c>
      <c r="E5" s="5" t="inlineStr">
        <is>
          <t>Prakiraan TKA (26–30 Okt); Sumpah Pemuda (28 Okt)</t>
        </is>
      </c>
      <c r="F5" s="5" t="inlineStr">
        <is>
          <t>[Single Image] Kamu Sudah Berusaha. Hasil Bukan Satu-satunya Ukuran Dirimu.</t>
        </is>
      </c>
      <c r="G5" s="5" t="inlineStr">
        <is>
          <t>[Carousel] Sumpah Pemuda Versi Anak Muda Digital: 3 Janji Kita</t>
        </is>
      </c>
      <c r="H5" s="5" t="inlineStr">
        <is>
          <t>[Reels] Habis Ujian, Stop Bahas Jawaban Sampai Overthinking</t>
        </is>
      </c>
      <c r="I5" s="5" t="inlineStr">
        <is>
          <t>Stiker 'Add Yours': kirim doa/semangat untuk teman yang TKA • Kuis Sumpah Pemuda</t>
        </is>
      </c>
    </row>
    <row r="6">
      <c r="A6" s="4" t="n">
        <v>3</v>
      </c>
      <c r="B6" s="5" t="inlineStr">
        <is>
          <t>Sisa Semester 1 (Bonus)</t>
        </is>
      </c>
      <c r="C6" s="5" t="inlineStr">
        <is>
          <t>2 November 2026 – 6 November 2026</t>
        </is>
      </c>
      <c r="D6" s="8" t="inlineStr">
        <is>
          <t>Kelas XII Berjuang, Semua Mendukung</t>
        </is>
      </c>
      <c r="E6" s="5" t="inlineStr">
        <is>
          <t>Prakiraan TKA Kelas XII (2–6 Nov)</t>
        </is>
      </c>
      <c r="F6" s="5" t="inlineStr">
        <is>
          <t>[Carousel] Strategi Jitu Soal HOTS: Baca – Tandai – Eliminasi</t>
        </is>
      </c>
      <c r="G6" s="5" t="inlineStr">
        <is>
          <t>[Carousel] Cemas Wajar vs Cemas Berlebihan: Kenali Bedanya</t>
        </is>
      </c>
      <c r="H6" s="5" t="inlineStr">
        <is>
          <t>[Reels] Pesan Adik Kelas untuk Kakak XII</t>
        </is>
      </c>
      <c r="I6" s="5" t="inlineStr">
        <is>
          <t>Polling: 'Kamu tipe belajar pagi atau malam?' • Q&amp;A 'Tanya BK soal kuliah'</t>
        </is>
      </c>
    </row>
    <row r="7">
      <c r="A7" s="4" t="n">
        <v>4</v>
      </c>
      <c r="B7" s="5" t="inlineStr">
        <is>
          <t>Sisa Semester 1 (Bonus)</t>
        </is>
      </c>
      <c r="C7" s="5" t="inlineStr">
        <is>
          <t>9 November 2026 – 13 November 2026</t>
        </is>
      </c>
      <c r="D7" s="8" t="inlineStr">
        <is>
          <t>Jadi Pahlawan Masa Kini: Stop Perundungan</t>
        </is>
      </c>
      <c r="E7" s="5" t="inlineStr">
        <is>
          <t>Hari Pahlawan (10 Nov); World Kindness Day (13 Nov)</t>
        </is>
      </c>
      <c r="F7" s="5" t="inlineStr">
        <is>
          <t>[Carousel] 5 Profesi 'Pahlawan Masa Kini' &amp; Jurusan Kuliahnya</t>
        </is>
      </c>
      <c r="G7" s="5" t="inlineStr">
        <is>
          <t>[Carousel] Kamu Saksi Bullying? Jadi Pahlawan dengan 5D</t>
        </is>
      </c>
      <c r="H7" s="5" t="inlineStr">
        <is>
          <t>[Reels] #TantanganBaik 7 Hari ala SMANRICI</t>
        </is>
      </c>
      <c r="I7" s="5" t="inlineStr">
        <is>
          <t>Kuis: 'Ini bullying atau bercanda?' • Stiker tantangan #TantanganBaik</t>
        </is>
      </c>
    </row>
    <row r="8">
      <c r="A8" s="4" t="n">
        <v>5</v>
      </c>
      <c r="B8" s="5" t="inlineStr">
        <is>
          <t>Sisa Semester 1 (Bonus)</t>
        </is>
      </c>
      <c r="C8" s="5" t="inlineStr">
        <is>
          <t>16 November 2026 – 20 November 2026</t>
        </is>
      </c>
      <c r="D8" s="8" t="inlineStr">
        <is>
          <t>Beda Itu Biasa: Toleransi &amp; Hak Anak</t>
        </is>
      </c>
      <c r="E8" s="5" t="inlineStr">
        <is>
          <t>Hari Toleransi Internasional (16 Nov); Hari Anak Sedunia (20 Nov)</t>
        </is>
      </c>
      <c r="F8" s="5" t="inlineStr">
        <is>
          <t>[Reels] Kerja Kelompok dengan Teman Beda Karakter Tanpa Drama</t>
        </is>
      </c>
      <c r="G8" s="5" t="inlineStr">
        <is>
          <t>[Carousel] Candaan SARA &amp; Body Shaming: Bukan Lucu, Tapi Luka</t>
        </is>
      </c>
      <c r="H8" s="5" t="inlineStr">
        <is>
          <t>[Infografis] Hak Remaja yang Perlu Kamu Tahu</t>
        </is>
      </c>
      <c r="I8" s="5" t="inlineStr">
        <is>
          <t>Polling: 'Pernah jadi korban candaan soal fisik?' (anonim) • Info SAPA 129</t>
        </is>
      </c>
    </row>
    <row r="9">
      <c r="A9" s="4" t="n">
        <v>6</v>
      </c>
      <c r="B9" s="5" t="inlineStr">
        <is>
          <t>Sisa Semester 1 (Bonus)</t>
        </is>
      </c>
      <c r="C9" s="5" t="inlineStr">
        <is>
          <t>23 November 2026 – 27 November 2026</t>
        </is>
      </c>
      <c r="D9" s="8" t="inlineStr">
        <is>
          <t>Terima Kasih, Guru</t>
        </is>
      </c>
      <c r="E9" s="5" t="inlineStr">
        <is>
          <t>Hari Guru Nasional (25 Nov)</t>
        </is>
      </c>
      <c r="F9" s="5" t="inlineStr">
        <is>
          <t>[Carousel] Takut Bertanya ke Guru? Ini Template Chat Sopan</t>
        </is>
      </c>
      <c r="G9" s="5" t="inlineStr">
        <is>
          <t>[Reels] Selamat Hari Guru: Pesan dari Kami untuk Bapak/Ibu Guru</t>
        </is>
      </c>
      <c r="H9" s="5" t="inlineStr">
        <is>
          <t>[Carousel] Mau Jadi Guru? Kenali Jalurnya</t>
        </is>
      </c>
      <c r="I9" s="5" t="inlineStr">
        <is>
          <t>Kotak pesan: 'Tulis ucapan untuk guru favoritmu' (direpost anonim)</t>
        </is>
      </c>
    </row>
    <row r="10">
      <c r="A10" s="4" t="n">
        <v>7</v>
      </c>
      <c r="B10" s="5" t="inlineStr">
        <is>
          <t>Sisa Semester 1 (Bonus)</t>
        </is>
      </c>
      <c r="C10" s="5" t="inlineStr">
        <is>
          <t>30 November 2026 – 4 Desember 2026</t>
        </is>
      </c>
      <c r="D10" s="8" t="inlineStr">
        <is>
          <t>ASAS Mode: Fokus &amp; Tenang</t>
        </is>
      </c>
      <c r="E10" s="5" t="inlineStr">
        <is>
          <t>ASAS (30 Nov–4 Des); Hari AIDS Sedunia (1 Des); Hari Disabilitas Internasional (3 Des)</t>
        </is>
      </c>
      <c r="F10" s="5" t="inlineStr">
        <is>
          <t>[Single Image] Tidur Cukup &gt; Sistem Kebut Semalam</t>
        </is>
      </c>
      <c r="G10" s="5" t="inlineStr">
        <is>
          <t>[Carousel] Teknik Tenang 3 Menit Sebelum Ujian</t>
        </is>
      </c>
      <c r="H10" s="5" t="inlineStr">
        <is>
          <t>[Reels] ASAS Selesai! 5 Cara Recharge yang Sehat</t>
        </is>
      </c>
      <c r="I10" s="5" t="inlineStr">
        <is>
          <t>Countdown ASAS • Polling jam tidur semalam • Ucapan Hari Disabilitas</t>
        </is>
      </c>
    </row>
    <row r="11">
      <c r="A11" s="4" t="n">
        <v>8</v>
      </c>
      <c r="B11" s="5" t="inlineStr">
        <is>
          <t>Sisa Semester 1 (Bonus)</t>
        </is>
      </c>
      <c r="C11" s="5" t="inlineStr">
        <is>
          <t>7 Desember 2026 – 11 Desember 2026</t>
        </is>
      </c>
      <c r="D11" s="8" t="inlineStr">
        <is>
          <t>Refleksi Semester: Aku yang Bertumbuh</t>
        </is>
      </c>
      <c r="E11" s="5" t="inlineStr">
        <is>
          <t>Pasca-ASAS / classmeeting; Hari HAM (10 Des)</t>
        </is>
      </c>
      <c r="F11" s="5" t="inlineStr">
        <is>
          <t>[Carousel] Evaluasi Belajar ala Start–Stop–Continue</t>
        </is>
      </c>
      <c r="G11" s="5" t="inlineStr">
        <is>
          <t>[Reels] Self-Compassion: Cara Bicara pada Diri Saat Nilai Belum Sesuai Harapan</t>
        </is>
      </c>
      <c r="H11" s="5" t="inlineStr">
        <is>
          <t>[Reels] Sportif Itu Keren: Classmeeting Tanpa Perundungan</t>
        </is>
      </c>
      <c r="I11" s="5" t="inlineStr">
        <is>
          <t>Template story 'Semester ini aku bangga karena…' • Polling lomba classmeeting favorit</t>
        </is>
      </c>
    </row>
    <row r="12">
      <c r="A12" s="4" t="n">
        <v>9</v>
      </c>
      <c r="B12" s="5" t="inlineStr">
        <is>
          <t>Sisa Semester 1 (Bonus)</t>
        </is>
      </c>
      <c r="C12" s="5" t="inlineStr">
        <is>
          <t>14 Desember 2026 – 18 Desember 2026</t>
        </is>
      </c>
      <c r="D12" s="8" t="inlineStr">
        <is>
          <t>Remedial Bukan Aib, Kesempatan Kedua</t>
        </is>
      </c>
      <c r="E12" s="5" t="inlineStr">
        <is>
          <t>Masa remedial/pengayaan &amp; pengolahan nilai</t>
        </is>
      </c>
      <c r="F12" s="5" t="inlineStr">
        <is>
          <t>[Single Image] Remedial = Second Chance, Bukan Label</t>
        </is>
      </c>
      <c r="G12" s="5" t="inlineStr">
        <is>
          <t>[Carousel] Cara Jujur ke Orang Tua soal Nilai</t>
        </is>
      </c>
      <c r="H12" s="5" t="inlineStr">
        <is>
          <t>[Kuis Interaktif] Kuis: Kamu Tipe RIASEC yang Mana?</t>
        </is>
      </c>
      <c r="I12" s="5" t="inlineStr">
        <is>
          <t>Kuis singkat RIASEC (story quiz) • Q&amp;A 'Bingung jurusan?'</t>
        </is>
      </c>
    </row>
    <row r="13">
      <c r="A13" s="4" t="n">
        <v>10</v>
      </c>
      <c r="B13" s="5" t="inlineStr">
        <is>
          <t>Sisa Semester 1 (Bonus)</t>
        </is>
      </c>
      <c r="C13" s="5" t="inlineStr">
        <is>
          <t>21 Desember 2026 – 25 Desember 2026</t>
        </is>
      </c>
      <c r="D13" s="8" t="inlineStr">
        <is>
          <t>Rapor &amp; Rumah</t>
        </is>
      </c>
      <c r="E13" s="5" t="inlineStr">
        <is>
          <t>Hari Ibu (22 Des); Penetapan &amp; Pembagian Rapor (23 Des); Natal (25 Des)</t>
        </is>
      </c>
      <c r="F13" s="5" t="inlineStr">
        <is>
          <t>[Carousel] 5 Cara Sederhana Bilang Sayang ke Ibu (Tanpa Canggung)</t>
        </is>
      </c>
      <c r="G13" s="5" t="inlineStr">
        <is>
          <t>[Carousel] Rapor Bukan Ramalan Masa Depan</t>
        </is>
      </c>
      <c r="H13" s="5" t="inlineStr">
        <is>
          <t>[Single Image] Damai dalam Keberagaman: Selamat Hari Natal</t>
        </is>
      </c>
      <c r="I13" s="5" t="inlineStr">
        <is>
          <t>Repost ucapan Hari Ibu siswa • Ucapan Natal • Polling 'Rencana liburanmu?'</t>
        </is>
      </c>
    </row>
    <row r="14">
      <c r="A14" s="4" t="n">
        <v>11</v>
      </c>
      <c r="B14" s="5" t="inlineStr">
        <is>
          <t>Sisa Semester 1 (Bonus)</t>
        </is>
      </c>
      <c r="C14" s="5" t="inlineStr">
        <is>
          <t>28 Desember 2026 – 1 Januari 2027</t>
        </is>
      </c>
      <c r="D14" s="8" t="inlineStr">
        <is>
          <t>Liburan Waras: Istirahat Tanpa Rasa Bersalah</t>
        </is>
      </c>
      <c r="E14" s="5" t="inlineStr">
        <is>
          <t>Libur Semester 1 (28–31 Des); Tahun Baru (1 Jan)</t>
        </is>
      </c>
      <c r="F14" s="5" t="inlineStr">
        <is>
          <t>[Reels] Tantangan Digital Detox Ringan: 1 Jam Tanpa HP per Hari</t>
        </is>
      </c>
      <c r="G14" s="5" t="inlineStr">
        <is>
          <t>[Carousel] 7 Ide Liburan Produktif Versi Santai</t>
        </is>
      </c>
      <c r="H14" s="5" t="inlineStr">
        <is>
          <t>[Single Image] Selamat Tahun Baru 2027! Satu Kata untuk Tahunmu?</t>
        </is>
      </c>
      <c r="I14" s="5" t="inlineStr">
        <is>
          <t>Tantangan '1 jam tanpa HP' • Template 'Word of the Year 2027'</t>
        </is>
      </c>
    </row>
    <row r="15">
      <c r="A15" s="4" t="n">
        <v>12</v>
      </c>
      <c r="B15" s="5" t="inlineStr">
        <is>
          <t>Sisa Semester 1 (Bonus)</t>
        </is>
      </c>
      <c r="C15" s="5" t="inlineStr">
        <is>
          <t>4 Januari 2027 – 8 Januari 2027</t>
        </is>
      </c>
      <c r="D15" s="8" t="inlineStr">
        <is>
          <t>Siapkan Diri untuk Semester Baru</t>
        </is>
      </c>
      <c r="E15" s="5" t="inlineStr">
        <is>
          <t>Libur Semester 1 (4–8 Jan); Isra Mi'raj (5 Jan)</t>
        </is>
      </c>
      <c r="F15" s="5" t="inlineStr">
        <is>
          <t>[Carousel] Resolusi Sering Gagal? Coba SMART Goal + Kebiasaan Kecil</t>
        </is>
      </c>
      <c r="G15" s="5" t="inlineStr">
        <is>
          <t>[Single Image] Isra Mi'raj: Jeda untuk Menenangkan Hati</t>
        </is>
      </c>
      <c r="H15" s="5" t="inlineStr">
        <is>
          <t>[Infografis] Kelas XII: Timeline SNPMB 2027 yang Wajib Dipantau</t>
        </is>
      </c>
      <c r="I15" s="5" t="inlineStr">
        <is>
          <t>Polling: 'Siap masuk sekolah?' • Countdown hari pertama semester 2</t>
        </is>
      </c>
    </row>
    <row r="16">
      <c r="A16" s="12" t="n">
        <v>13</v>
      </c>
      <c r="B16" s="13" t="inlineStr">
        <is>
          <t>Semester 2</t>
        </is>
      </c>
      <c r="C16" s="13" t="inlineStr">
        <is>
          <t>11 Januari 2027 – 15 Januari 2027</t>
        </is>
      </c>
      <c r="D16" s="15" t="inlineStr">
        <is>
          <t>Fresh Start Semester Genap</t>
        </is>
      </c>
      <c r="E16" s="13" t="inlineStr">
        <is>
          <t>Hari pertama Semester 2 (11 Jan)</t>
        </is>
      </c>
      <c r="F16" s="13" t="inlineStr">
        <is>
          <t>[Reels] Welcome Back! Reset Meja Belajar &amp; Mindset</t>
        </is>
      </c>
      <c r="G16" s="13" t="inlineStr">
        <is>
          <t>[Carousel] Bikin Jadwal Belajar Mingguan dengan Time Blocking</t>
        </is>
      </c>
      <c r="H16" s="13" t="inlineStr">
        <is>
          <t>[Carousel] Kenalan Lagi: Layanan BK Itu Ngapain Aja?</t>
        </is>
      </c>
      <c r="I16" s="13" t="inlineStr">
        <is>
          <t>Polling: 'Target utamamu semester ini?' • Info jam layanan BK</t>
        </is>
      </c>
    </row>
    <row r="17">
      <c r="A17" s="12" t="n">
        <v>14</v>
      </c>
      <c r="B17" s="13" t="inlineStr">
        <is>
          <t>Semester 2</t>
        </is>
      </c>
      <c r="C17" s="13" t="inlineStr">
        <is>
          <t>18 Januari 2027 – 22 Januari 2027</t>
        </is>
      </c>
      <c r="D17" s="15" t="inlineStr">
        <is>
          <t>Peta Jalan ke Kampus</t>
        </is>
      </c>
      <c r="E17" s="13" t="inlineStr">
        <is>
          <t>Masa registrasi akun SNPMB &amp; pengisian PDSS (perkiraan)</t>
        </is>
      </c>
      <c r="F17" s="13" t="inlineStr">
        <is>
          <t>[Carousel] SNBP 101: Syarat, Alur, dan Kesalahan yang Sering Terjadi</t>
        </is>
      </c>
      <c r="G17" s="13" t="inlineStr">
        <is>
          <t>[Carousel] Keluar dari Comparison Trap Seangkatan</t>
        </is>
      </c>
      <c r="H17" s="13" t="inlineStr">
        <is>
          <t>[Reels] Kata Alumni #1: Cerita Masuk PTN Lewat SNBP</t>
        </is>
      </c>
      <c r="I17" s="13" t="inlineStr">
        <is>
          <t>Q&amp;A 'Tanya SNBP' • Polling: 'Sudah punya akun SNPMB?'</t>
        </is>
      </c>
    </row>
    <row r="18">
      <c r="A18" s="12" t="n">
        <v>15</v>
      </c>
      <c r="B18" s="13" t="inlineStr">
        <is>
          <t>Semester 2</t>
        </is>
      </c>
      <c r="C18" s="13" t="inlineStr">
        <is>
          <t>25 Januari 2027 – 29 Januari 2027</t>
        </is>
      </c>
      <c r="D18" s="15" t="inlineStr">
        <is>
          <t>Sehat Fisik, Sehat Mental</t>
        </is>
      </c>
      <c r="E18" s="13" t="inlineStr">
        <is>
          <t>Hari Gizi Nasional (25 Jan); Hari Pendidikan Internasional (24 Jan)</t>
        </is>
      </c>
      <c r="F18" s="13" t="inlineStr">
        <is>
          <t>[Infografis] Sarapan &amp; Konsentrasi Belajar: Isi Piringku untuk Pelajar</t>
        </is>
      </c>
      <c r="G18" s="13" t="inlineStr">
        <is>
          <t>[Carousel] Begadang Demi Scroll? Kenali Revenge Bedtime Procrastination</t>
        </is>
      </c>
      <c r="H18" s="13" t="inlineStr">
        <is>
          <t>[Reels] Peregangan 60 Detik di Sela Belajar</t>
        </is>
      </c>
      <c r="I18" s="13" t="inlineStr">
        <is>
          <t>Polling: 'Tadi pagi sarapan?' • Kuis jam tidur ideal remaja</t>
        </is>
      </c>
    </row>
    <row r="19">
      <c r="A19" s="12" t="n">
        <v>16</v>
      </c>
      <c r="B19" s="13" t="inlineStr">
        <is>
          <t>Semester 2</t>
        </is>
      </c>
      <c r="C19" s="13" t="inlineStr">
        <is>
          <t>1 Februari 2027 – 5 Februari 2027</t>
        </is>
      </c>
      <c r="D19" s="15" t="inlineStr">
        <is>
          <t>Pilih Prodi, Bukan Sekadar Gengsi</t>
        </is>
      </c>
      <c r="E19" s="13" t="inlineStr">
        <is>
          <t>Masa pendaftaran SNBP (perkiraan); Tahun Baru Imlek (6 Feb)</t>
        </is>
      </c>
      <c r="F19" s="13" t="inlineStr">
        <is>
          <t>[Carousel] Cara Memilih Prodi: Minat × Kemampuan × Peluang</t>
        </is>
      </c>
      <c r="G19" s="13" t="inlineStr">
        <is>
          <t>[Carousel] Beda Pilihan Kuliah dengan Orang Tua? Begini Diskusinya</t>
        </is>
      </c>
      <c r="H19" s="13" t="inlineStr">
        <is>
          <t>[Reels] Mitos vs Fakta Jurusan Kuliah</t>
        </is>
      </c>
      <c r="I19" s="13" t="inlineStr">
        <is>
          <t>Kuis 'Mitos atau fakta jurusan?' • Ucapan Imlek 2578</t>
        </is>
      </c>
    </row>
    <row r="20">
      <c r="A20" s="12" t="n">
        <v>17</v>
      </c>
      <c r="B20" s="13" t="inlineStr">
        <is>
          <t>Semester 2</t>
        </is>
      </c>
      <c r="C20" s="13" t="inlineStr">
        <is>
          <t>8 Februari 2027 – 12 Februari 2027</t>
        </is>
      </c>
      <c r="D20" s="15" t="inlineStr">
        <is>
          <t>Ramadan &amp; Digital Wellbeing</t>
        </is>
      </c>
      <c r="E20" s="13" t="inlineStr">
        <is>
          <t>Libur awal Ramadan (8–12 Feb); Safer Internet Day (9 Feb)</t>
        </is>
      </c>
      <c r="F20" s="13" t="inlineStr">
        <is>
          <t>[Single Image] Marhaban ya Ramadan: Apa Target Ramadan-mu?</t>
        </is>
      </c>
      <c r="G20" s="13" t="inlineStr">
        <is>
          <t>[Carousel] Waspada Sextortion &amp; Grooming Online</t>
        </is>
      </c>
      <c r="H20" s="13" t="inlineStr">
        <is>
          <t>[Carousel] Judi Online Menyamar Jadi Game: Kenali &amp; Tolak</t>
        </is>
      </c>
      <c r="I20" s="13" t="inlineStr">
        <is>
          <t>Template 'Target Ramadan-ku' • Polling: 'Pernah dapat DM mencurigakan?'</t>
        </is>
      </c>
    </row>
    <row r="21">
      <c r="A21" s="12" t="n">
        <v>18</v>
      </c>
      <c r="B21" s="13" t="inlineStr">
        <is>
          <t>Semester 2</t>
        </is>
      </c>
      <c r="C21" s="13" t="inlineStr">
        <is>
          <t>15 Februari 2027 – 19 Februari 2027</t>
        </is>
      </c>
      <c r="D21" s="15" t="inlineStr">
        <is>
          <t>Ramadan Produktif &amp; Hubungan Sehat</t>
        </is>
      </c>
      <c r="E21" s="13" t="inlineStr">
        <is>
          <t>Masuk sekolah selama Ramadan; pasca-Valentine (14 Feb)</t>
        </is>
      </c>
      <c r="F21" s="13" t="inlineStr">
        <is>
          <t>[Infografis] Jadwal Belajar Saat Puasa: Kapan Otak Paling Fokus?</t>
        </is>
      </c>
      <c r="G21" s="13" t="inlineStr">
        <is>
          <t>[Carousel] Red Flag vs Green Flag dalam Pertemanan &amp; Pacaran</t>
        </is>
      </c>
      <c r="H21" s="13" t="inlineStr">
        <is>
          <t>[Reels] Ngabuburit Positif ala SMANRICI</t>
        </is>
      </c>
      <c r="I21" s="13" t="inlineStr">
        <is>
          <t>Polling: 'Belajar enaknya setelah sahur atau setelah tarawih?' • Kuis red/green flag</t>
        </is>
      </c>
    </row>
    <row r="22">
      <c r="A22" s="12" t="n">
        <v>19</v>
      </c>
      <c r="B22" s="13" t="inlineStr">
        <is>
          <t>Semester 2</t>
        </is>
      </c>
      <c r="C22" s="13" t="inlineStr">
        <is>
          <t>22 Februari 2027 – 26 Februari 2027</t>
        </is>
      </c>
      <c r="D22" s="15" t="inlineStr">
        <is>
          <t>Hati Tenang, Pikiran Jernih</t>
        </is>
      </c>
      <c r="E22" s="13" t="inlineStr">
        <is>
          <t>Pesantren Ramadan (24–27 Feb)</t>
        </is>
      </c>
      <c r="F22" s="13" t="inlineStr">
        <is>
          <t>[Carousel] Syukur sebagai Penawar Overthinking: Jurnal 3 Hal Baik</t>
        </is>
      </c>
      <c r="G22" s="13" t="inlineStr">
        <is>
          <t>[Reels] Kebersamaan di Pesantren Ramadan</t>
        </is>
      </c>
      <c r="H22" s="13" t="inlineStr">
        <is>
          <t>[Carousel] Kelas XII: Siapkan Plan A–B–C Setelah SMA</t>
        </is>
      </c>
      <c r="I22" s="13" t="inlineStr">
        <is>
          <t>Repost momen pesantren • Template 'Jurnal syukur hari ini'</t>
        </is>
      </c>
    </row>
    <row r="23">
      <c r="A23" s="12" t="n">
        <v>20</v>
      </c>
      <c r="B23" s="13" t="inlineStr">
        <is>
          <t>Semester 2</t>
        </is>
      </c>
      <c r="C23" s="13" t="inlineStr">
        <is>
          <t>1 Maret 2027 – 5 Maret 2027</t>
        </is>
      </c>
      <c r="D23" s="15" t="inlineStr">
        <is>
          <t>Fokus Akhir Jenjang</t>
        </is>
      </c>
      <c r="E23" s="13" t="inlineStr">
        <is>
          <t>ASAJ kelas XII (1–5 Mar); Pesantren Ramadan (1–5 Mar)</t>
        </is>
      </c>
      <c r="F23" s="13" t="inlineStr">
        <is>
          <t>[Single Image] Semangat ASAJ, Kelas XII! Kamu Sudah Sejauh Ini</t>
        </is>
      </c>
      <c r="G23" s="13" t="inlineStr">
        <is>
          <t>[Reels] Active Recall &amp; Spaced Repetition: Belajar Lebih Sedikit, Ingat Lebih Lama</t>
        </is>
      </c>
      <c r="H23" s="13" t="inlineStr">
        <is>
          <t>[Carousel] Menunggu Pengumuman Bikin Deg-degan? Kelola Cemasmu</t>
        </is>
      </c>
      <c r="I23" s="13" t="inlineStr">
        <is>
          <t>Kirim semangat untuk XII • Kuis teknik belajar</t>
        </is>
      </c>
    </row>
    <row r="24">
      <c r="A24" s="12" t="n">
        <v>21</v>
      </c>
      <c r="B24" s="13" t="inlineStr">
        <is>
          <t>Semester 2</t>
        </is>
      </c>
      <c r="C24" s="13" t="inlineStr">
        <is>
          <t>8 Maret 2027 – 12 Maret 2027</t>
        </is>
      </c>
      <c r="D24" s="15" t="inlineStr">
        <is>
          <t>Lebaran &amp; Rumah Kedua</t>
        </is>
      </c>
      <c r="E24" s="13" t="inlineStr">
        <is>
          <t>Libur Idul Fitri (8–19 Mar); Nyepi (9 Mar); Idul Fitri (10 Mar); HUT SMANRICI (12 Mar)</t>
        </is>
      </c>
      <c r="F24" s="13" t="inlineStr">
        <is>
          <t>[Reels] Survive Pertanyaan Lebaran: 'Ranking Berapa? Mau Kuliah di Mana?'</t>
        </is>
      </c>
      <c r="G24" s="13" t="inlineStr">
        <is>
          <t>[Single Image] Selamat Idul Fitri 1448 H — Mohon Maaf Lahir &amp; Batin</t>
        </is>
      </c>
      <c r="H24" s="13" t="inlineStr">
        <is>
          <t>[Reels] HUT SMANRICI: Apa yang Bikin Kamu Bangga?</t>
        </is>
      </c>
      <c r="I24" s="13" t="inlineStr">
        <is>
          <t>Ucapan Nyepi &amp; Idul Fitri • Polling 'Mudik ke mana?' • Kenangan foto lama sekolah</t>
        </is>
      </c>
    </row>
    <row r="25">
      <c r="A25" s="12" t="n">
        <v>22</v>
      </c>
      <c r="B25" s="13" t="inlineStr">
        <is>
          <t>Semester 2</t>
        </is>
      </c>
      <c r="C25" s="13" t="inlineStr">
        <is>
          <t>15 Maret 2027 – 19 Maret 2027</t>
        </is>
      </c>
      <c r="D25" s="15" t="inlineStr">
        <is>
          <t>THR &amp; Dompet Remaja</t>
        </is>
      </c>
      <c r="E25" s="13" t="inlineStr">
        <is>
          <t>Libur Idul Fitri (s.d. 19 Mar); perkiraan pengumuman SNBP</t>
        </is>
      </c>
      <c r="F25" s="13" t="inlineStr">
        <is>
          <t>[Infografis] Kelola Uang THR: Rumus 50–30–20 Versi Pelajar</t>
        </is>
      </c>
      <c r="G25" s="13" t="inlineStr">
        <is>
          <t>[Carousel] Paylater &amp; Pinjol untuk Remaja: Kenali Risikonya</t>
        </is>
      </c>
      <c r="H25" s="13" t="inlineStr">
        <is>
          <t>[Reels] H-3 Masuk Sekolah: Reset Jam Tidur Pasca Libur</t>
        </is>
      </c>
      <c r="I25" s="13" t="inlineStr">
        <is>
          <t>Polling: 'THR-mu buat apa?' • Kuis literasi keuangan</t>
        </is>
      </c>
    </row>
    <row r="26">
      <c r="A26" s="12" t="n">
        <v>23</v>
      </c>
      <c r="B26" s="13" t="inlineStr">
        <is>
          <t>Semester 2</t>
        </is>
      </c>
      <c r="C26" s="13" t="inlineStr">
        <is>
          <t>22 Maret 2027 – 26 Maret 2027</t>
        </is>
      </c>
      <c r="D26" s="15" t="inlineStr">
        <is>
          <t>Bangkit Setelah Hasil</t>
        </is>
      </c>
      <c r="E26" s="13" t="inlineStr">
        <is>
          <t>Masuk kembali setelah libur Idul Fitri (22 Mar); pasca-pengumuman SNBP (perkiraan)</t>
        </is>
      </c>
      <c r="F26" s="13" t="inlineStr">
        <is>
          <t>[Carousel] Lolos atau Belum Lolos SNBP: Ini Langkah Selanjutnya</t>
        </is>
      </c>
      <c r="G26" s="13" t="inlineStr">
        <is>
          <t>[Carousel] Kecewa Itu Wajar: 5 Cara Sehat Memproses Kegagalan</t>
        </is>
      </c>
      <c r="H26" s="13" t="inlineStr">
        <is>
          <t>[Reels] Kata Alumni #2: Gagal SNBP, Lolos SNBT</t>
        </is>
      </c>
      <c r="I26" s="13" t="inlineStr">
        <is>
          <t>Q&amp;A 'Langkah setelah pengumuman' • Kirim semangat untuk XII</t>
        </is>
      </c>
    </row>
    <row r="27">
      <c r="A27" s="12" t="n">
        <v>24</v>
      </c>
      <c r="B27" s="13" t="inlineStr">
        <is>
          <t>Semester 2</t>
        </is>
      </c>
      <c r="C27" s="13" t="inlineStr">
        <is>
          <t>29 Maret 2027 – 2 April 2027</t>
        </is>
      </c>
      <c r="D27" s="15" t="inlineStr">
        <is>
          <t>Siap ASTS dengan Jujur</t>
        </is>
      </c>
      <c r="E27" s="13" t="inlineStr">
        <is>
          <t>Menjelang ASTS (5–9 Apr); Hari Peduli Autisme Sedunia (2 Apr)</t>
        </is>
      </c>
      <c r="F27" s="13" t="inlineStr">
        <is>
          <t>[Infografis] H-7 ASTS: Rencana Belajar 7 Hari</t>
        </is>
      </c>
      <c r="G27" s="13" t="inlineStr">
        <is>
          <t>[Carousel] Pakai AI untuk Belajar, Bukan untuk Curang</t>
        </is>
      </c>
      <c r="H27" s="13" t="inlineStr">
        <is>
          <t>[Infografis] Peduli Autisme: Kenali, Pahami, Rangkul</t>
        </is>
      </c>
      <c r="I27" s="13" t="inlineStr">
        <is>
          <t>Polling: 'Pernah pakai AI untuk tugas?' • Countdown ASTS</t>
        </is>
      </c>
    </row>
    <row r="28">
      <c r="A28" s="12" t="n">
        <v>25</v>
      </c>
      <c r="B28" s="13" t="inlineStr">
        <is>
          <t>Semester 2</t>
        </is>
      </c>
      <c r="C28" s="13" t="inlineStr">
        <is>
          <t>5 April 2027 – 9 April 2027</t>
        </is>
      </c>
      <c r="D28" s="15" t="inlineStr">
        <is>
          <t>Ujian Tenang, Badan Sehat</t>
        </is>
      </c>
      <c r="E28" s="13" t="inlineStr">
        <is>
          <t>ASTS (5–9 Apr); Hari Kesehatan Sedunia (7 Apr)</t>
        </is>
      </c>
      <c r="F28" s="13" t="inlineStr">
        <is>
          <t>[Single Image] Pesan BK Selama ASTS: Tidur, Sarapan, Jujur</t>
        </is>
      </c>
      <c r="G28" s="13" t="inlineStr">
        <is>
          <t>[Carousel] Hari Kesehatan Sedunia: Cek Kesehatan Mentalmu</t>
        </is>
      </c>
      <c r="H28" s="13" t="inlineStr">
        <is>
          <t>[Reels] ASTS Selesai: Apa yang Kamu Pelajari dari Cara Belajarmu?</t>
        </is>
      </c>
      <c r="I28" s="13" t="inlineStr">
        <is>
          <t>Mood check-in harian (stiker slider) • Semangat ASTS</t>
        </is>
      </c>
    </row>
    <row r="29">
      <c r="A29" s="12" t="n">
        <v>26</v>
      </c>
      <c r="B29" s="13" t="inlineStr">
        <is>
          <t>Semester 2</t>
        </is>
      </c>
      <c r="C29" s="13" t="inlineStr">
        <is>
          <t>12 April 2027 – 16 April 2027</t>
        </is>
      </c>
      <c r="D29" s="15" t="inlineStr">
        <is>
          <t>Belajar dari Aksi Nyata</t>
        </is>
      </c>
      <c r="E29" s="13" t="inlineStr">
        <is>
          <t>Aksi Nyata (12–15 Apr); Pembagian LHB (16 Apr)</t>
        </is>
      </c>
      <c r="F29" s="13" t="inlineStr">
        <is>
          <t>[Reels] Kerja Tim di Proyek: Atasi Teman 'Numpang Nama'</t>
        </is>
      </c>
      <c r="G29" s="13" t="inlineStr">
        <is>
          <t>[Photo Dump] Behind The Scene Aksi Nyata SMANRICI</t>
        </is>
      </c>
      <c r="H29" s="13" t="inlineStr">
        <is>
          <t>[Carousel] Membaca LHB: Tentukan 2 Target Perbaikan</t>
        </is>
      </c>
      <c r="I29" s="13" t="inlineStr">
        <is>
          <t>Repost karya aksi nyata siswa • Polling: 'Peranmu di kelompok?'</t>
        </is>
      </c>
    </row>
    <row r="30">
      <c r="A30" s="12" t="n">
        <v>27</v>
      </c>
      <c r="B30" s="13" t="inlineStr">
        <is>
          <t>Semester 2</t>
        </is>
      </c>
      <c r="C30" s="13" t="inlineStr">
        <is>
          <t>19 April 2027 – 23 April 2027</t>
        </is>
      </c>
      <c r="D30" s="15" t="inlineStr">
        <is>
          <t>Perempuan Berdaya, Semua Setara</t>
        </is>
      </c>
      <c r="E30" s="13" t="inlineStr">
        <is>
          <t>Hari Kartini (21 Apr); Hari Bumi (22 Apr); perkiraan UTBK-SNBT</t>
        </is>
      </c>
      <c r="F30" s="13" t="inlineStr">
        <is>
          <t>[Carousel] UTBK Day: Checklist &amp; Strategi Waktu</t>
        </is>
      </c>
      <c r="G30" s="13" t="inlineStr">
        <is>
          <t>[Carousel] Kartini Masa Kini: Karier Tanpa Batas Gender</t>
        </is>
      </c>
      <c r="H30" s="13" t="inlineStr">
        <is>
          <t>[Reels] Catcalling &amp; Pelecehan Verbal Bukan Candaan</t>
        </is>
      </c>
      <c r="I30" s="13" t="inlineStr">
        <is>
          <t>Kuis tokoh perempuan Indonesia • Semangat UTBK untuk XII</t>
        </is>
      </c>
    </row>
    <row r="31">
      <c r="A31" s="12" t="n">
        <v>28</v>
      </c>
      <c r="B31" s="13" t="inlineStr">
        <is>
          <t>Semester 2</t>
        </is>
      </c>
      <c r="C31" s="13" t="inlineStr">
        <is>
          <t>26 April 2027 – 30 April 2027</t>
        </is>
      </c>
      <c r="D31" s="15" t="inlineStr">
        <is>
          <t>Setelah SMA, Mau ke Mana?</t>
        </is>
      </c>
      <c r="E31" s="13" t="inlineStr">
        <is>
          <t>Libur Wafat Isa Al Masih (26 Apr); menjelang penetapan kelulusan</t>
        </is>
      </c>
      <c r="F31" s="13" t="inlineStr">
        <is>
          <t>[Carousel] 4 Jalan Setelah SMA: Kuliah, Kerja, Wirausaha, atau Gap Year?</t>
        </is>
      </c>
      <c r="G31" s="13" t="inlineStr">
        <is>
          <t>[Carousel] Sekolah Kedinasan &amp; Beasiswa: Cek Jadwal &amp; Syaratnya</t>
        </is>
      </c>
      <c r="H31" s="13" t="inlineStr">
        <is>
          <t>[Reels] Kata Alumni #3: Alumni yang Bekerja &amp; Berwirausaha</t>
        </is>
      </c>
      <c r="I31" s="13" t="inlineStr">
        <is>
          <t>Polling: 'Kuliah / kerja / wirausaha / gap year?' • Q&amp;A beasiswa</t>
        </is>
      </c>
    </row>
    <row r="32">
      <c r="A32" s="12" t="n">
        <v>29</v>
      </c>
      <c r="B32" s="13" t="inlineStr">
        <is>
          <t>Semester 2</t>
        </is>
      </c>
      <c r="C32" s="13" t="inlineStr">
        <is>
          <t>3 Mei 2027 – 7 Mei 2027</t>
        </is>
      </c>
      <c r="D32" s="15" t="inlineStr">
        <is>
          <t>Lulus dengan Bermakna</t>
        </is>
      </c>
      <c r="E32" s="13" t="inlineStr">
        <is>
          <t>Hardiknas (2 Mei); Penetapan Kelulusan (3 Mei); Kenaikan Isa Al Masih (6 Mei)</t>
        </is>
      </c>
      <c r="F32" s="13" t="inlineStr">
        <is>
          <t>[Single Image] Selamat Lulus, Angkatan 2027!</t>
        </is>
      </c>
      <c r="G32" s="13" t="inlineStr">
        <is>
          <t>[Carousel] Rayakan Kelulusan Tanpa Coret-coret &amp; Konvoi</t>
        </is>
      </c>
      <c r="H32" s="13" t="inlineStr">
        <is>
          <t>[Carousel] Lulus Tapi Masih Bingung? Itu Normal</t>
        </is>
      </c>
      <c r="I32" s="13" t="inlineStr">
        <is>
          <t>Ucapan kelulusan • Ide selebrasi bermakna • Polling seragam untuk didonasikan</t>
        </is>
      </c>
    </row>
    <row r="33">
      <c r="A33" s="12" t="n">
        <v>30</v>
      </c>
      <c r="B33" s="13" t="inlineStr">
        <is>
          <t>Semester 2</t>
        </is>
      </c>
      <c r="C33" s="13" t="inlineStr">
        <is>
          <t>10 Mei 2027 – 14 Mei 2027</t>
        </is>
      </c>
      <c r="D33" s="15" t="inlineStr">
        <is>
          <t>Siap Dunia Kerja &amp; Kampus</t>
        </is>
      </c>
      <c r="E33" s="13" t="inlineStr">
        <is>
          <t>Masa transisi pasca-kelulusan kelas XII</t>
        </is>
      </c>
      <c r="F33" s="13" t="inlineStr">
        <is>
          <t>[Carousel] CV Pertama untuk Lulusan SMA: Template &amp; Contoh</t>
        </is>
      </c>
      <c r="G33" s="13" t="inlineStr">
        <is>
          <t>[Carousel] Waspada Lowongan Kerja Palsu &amp; Penipuan Kerja ke Luar Negeri</t>
        </is>
      </c>
      <c r="H33" s="13" t="inlineStr">
        <is>
          <t>[Reels] Simulasi Wawancara: 5 Pertanyaan yang Sering Muncul</t>
        </is>
      </c>
      <c r="I33" s="13" t="inlineStr">
        <is>
          <t>Kuis 'Lowongan asli atau palsu?' • Q&amp;A wawancara kerja</t>
        </is>
      </c>
    </row>
    <row r="34">
      <c r="A34" s="12" t="n">
        <v>31</v>
      </c>
      <c r="B34" s="13" t="inlineStr">
        <is>
          <t>Semester 2</t>
        </is>
      </c>
      <c r="C34" s="13" t="inlineStr">
        <is>
          <t>17 Mei 2027 – 21 Mei 2027</t>
        </is>
      </c>
      <c r="D34" s="15" t="inlineStr">
        <is>
          <t>Bangkit &amp; Berbagi</t>
        </is>
      </c>
      <c r="E34" s="13" t="inlineStr">
        <is>
          <t>Idul Adha (17 Mei); Waisak (16 Mei); Hari Kebangkitan Nasional (20 Mei)</t>
        </is>
      </c>
      <c r="F34" s="13" t="inlineStr">
        <is>
          <t>[Single Image] Selamat Idul Adha 1448 H: Belajar Ikhlas &amp; Berbagi</t>
        </is>
      </c>
      <c r="G34" s="13" t="inlineStr">
        <is>
          <t>[Carousel] Kebangkitan Dimulai dari Diri: Lawan Prokrastinasi dengan Aturan 2 Menit</t>
        </is>
      </c>
      <c r="H34" s="13" t="inlineStr">
        <is>
          <t>[Carousel] Kelas X: Kenali Mapel Pilihan Fase F &amp; Hubungannya dengan Kuliah</t>
        </is>
      </c>
      <c r="I34" s="13" t="inlineStr">
        <is>
          <t>Ucapan Waisak &amp; Idul Adha • Polling: 'Hal yang sering kamu tunda?'</t>
        </is>
      </c>
    </row>
    <row r="35">
      <c r="A35" s="12" t="n">
        <v>32</v>
      </c>
      <c r="B35" s="13" t="inlineStr">
        <is>
          <t>Semester 2</t>
        </is>
      </c>
      <c r="C35" s="13" t="inlineStr">
        <is>
          <t>24 Mei 2027 – 28 Mei 2027</t>
        </is>
      </c>
      <c r="D35" s="15" t="inlineStr">
        <is>
          <t>Pilih Mapel Pilihan dengan Bijak</t>
        </is>
      </c>
      <c r="E35" s="13" t="inlineStr">
        <is>
          <t>Persiapan pemilihan mapel pilihan TA 2027/2028; menjelang ASAT</t>
        </is>
      </c>
      <c r="F35" s="13" t="inlineStr">
        <is>
          <t>[Carousel] 4 Langkah Memilih Mapel Pilihan</t>
        </is>
      </c>
      <c r="G35" s="13" t="inlineStr">
        <is>
          <t>[Reels] 'Salah Pilih Mapel = Masa Depan Suram?' Mitos!</t>
        </is>
      </c>
      <c r="H35" s="13" t="inlineStr">
        <is>
          <t>[Infografis] Persiapan ASAT dengan Metode Lampu Lalu Lintas</t>
        </is>
      </c>
      <c r="I35" s="13" t="inlineStr">
        <is>
          <t>Kuis 'Prodi ini butuh mapel apa?' • Jadwal konseling mapel pilihan</t>
        </is>
      </c>
    </row>
    <row r="36">
      <c r="A36" s="12" t="n">
        <v>33</v>
      </c>
      <c r="B36" s="13" t="inlineStr">
        <is>
          <t>Semester 2</t>
        </is>
      </c>
      <c r="C36" s="13" t="inlineStr">
        <is>
          <t>31 Mei 2027 – 4 Juni 2027</t>
        </is>
      </c>
      <c r="D36" s="15" t="inlineStr">
        <is>
          <t>Sehat Tanpa Asap &amp; Narkoba</t>
        </is>
      </c>
      <c r="E36" s="13" t="inlineStr">
        <is>
          <t>Hari Tanpa Tembakau Sedunia (31 Mei); Hari Lahir Pancasila (1 Jun)</t>
        </is>
      </c>
      <c r="F36" s="13" t="inlineStr">
        <is>
          <t>[Carousel] Vape 'Lebih Aman'? Mitos vs Fakta</t>
        </is>
      </c>
      <c r="G36" s="13" t="inlineStr">
        <is>
          <t>[Carousel] Pancasila di Tongkrongan: Menolak Ajakan Negatif dengan Asertif</t>
        </is>
      </c>
      <c r="H36" s="13" t="inlineStr">
        <is>
          <t>[Single Image] H-3 ASAT: Tidak Harus Sempurna, Cukup Siap</t>
        </is>
      </c>
      <c r="I36" s="13" t="inlineStr">
        <is>
          <t>Kuis mitos vape • Polling: 'Pernah ditawari rokok/vape?' (anonim)</t>
        </is>
      </c>
    </row>
    <row r="37">
      <c r="A37" s="12" t="n">
        <v>34</v>
      </c>
      <c r="B37" s="13" t="inlineStr">
        <is>
          <t>Semester 2</t>
        </is>
      </c>
      <c r="C37" s="13" t="inlineStr">
        <is>
          <t>7 Juni 2027 – 11 Juni 2027</t>
        </is>
      </c>
      <c r="D37" s="15" t="inlineStr">
        <is>
          <t>Selesaikan dengan Baik</t>
        </is>
      </c>
      <c r="E37" s="13" t="inlineStr">
        <is>
          <t>ASAT (7–11 Jun); Tahun Baru Islam 1449 H (6 Jun)</t>
        </is>
      </c>
      <c r="F37" s="13" t="inlineStr">
        <is>
          <t>[Single Image] Tahun Baru Islam &amp; Semangat ASAT</t>
        </is>
      </c>
      <c r="G37" s="13" t="inlineStr">
        <is>
          <t>[Reels] Tips 60 Detik: Kerjakan Soal Mudah Dulu</t>
        </is>
      </c>
      <c r="H37" s="13" t="inlineStr">
        <is>
          <t>[Carousel] Habis Ujian, Otak Lelah? Kenali Burnout Akademik</t>
        </is>
      </c>
      <c r="I37" s="13" t="inlineStr">
        <is>
          <t>Semangat ASAT • Mood check-in • Ucapan Tahun Baru Islam</t>
        </is>
      </c>
    </row>
    <row r="38">
      <c r="A38" s="12" t="n">
        <v>35</v>
      </c>
      <c r="B38" s="13" t="inlineStr">
        <is>
          <t>Semester 2</t>
        </is>
      </c>
      <c r="C38" s="13" t="inlineStr">
        <is>
          <t>14 Juni 2027 – 18 Juni 2027</t>
        </is>
      </c>
      <c r="D38" s="15" t="inlineStr">
        <is>
          <t>Refleksi Satu Tahun</t>
        </is>
      </c>
      <c r="E38" s="13" t="inlineStr">
        <is>
          <t>Pasca-ASAT; classmeeting &amp; pengolahan nilai</t>
        </is>
      </c>
      <c r="F38" s="13" t="inlineStr">
        <is>
          <t>[Carousel] Rapor Refleksi Diri: Apa yang Kamu Banggakan Tahun Ini?</t>
        </is>
      </c>
      <c r="G38" s="13" t="inlineStr">
        <is>
          <t>[Reels] Menutup Tahun Ajaran dengan Hubungan Baik</t>
        </is>
      </c>
      <c r="H38" s="13" t="inlineStr">
        <is>
          <t>[Photo Dump] Recap Setahun BK SMANRICI</t>
        </is>
      </c>
      <c r="I38" s="13" t="inlineStr">
        <is>
          <t>Template 'Tahun ini aku belajar…' • Pesan untuk diri sendiri tahun depan</t>
        </is>
      </c>
    </row>
    <row r="39">
      <c r="A39" s="12" t="n">
        <v>36</v>
      </c>
      <c r="B39" s="13" t="inlineStr">
        <is>
          <t>Semester 2</t>
        </is>
      </c>
      <c r="C39" s="13" t="inlineStr">
        <is>
          <t>21 Juni 2027 – 25 Juni 2027</t>
        </is>
      </c>
      <c r="D39" s="15" t="inlineStr">
        <is>
          <t>Naik Kelas, Naik Level</t>
        </is>
      </c>
      <c r="E39" s="13" t="inlineStr">
        <is>
          <t>Penetapan &amp; Pembagian Rapor (25 Jun); Hari Anti Narkotika Internasional (26 Jun)</t>
        </is>
      </c>
      <c r="F39" s="13" t="inlineStr">
        <is>
          <t>[Carousel] Untuk Orang Tua: 5 Cara Merespons Rapor Anak</t>
        </is>
      </c>
      <c r="G39" s="13" t="inlineStr">
        <is>
          <t>[Carousel] Naik ke Kelas XII? Mulai Siapkan Portofolio &amp; Target PTN</t>
        </is>
      </c>
      <c r="H39" s="13" t="inlineStr">
        <is>
          <t>[Single Image] Kamu Lebih dari Sekadar Nilai. Selamat Liburan!</t>
        </is>
      </c>
      <c r="I39" s="13" t="inlineStr">
        <is>
          <t>Ucapan naik kelas • Info layanan BK saat libur • Kampanye HANI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0" customWidth="1" min="4" max="4"/>
  </cols>
  <sheetData>
    <row r="1">
      <c r="A1" s="1" t="inlineStr">
        <is>
          <t>REKAP SEBARAN KONTEN</t>
        </is>
      </c>
    </row>
    <row r="3">
      <c r="A3" s="3" t="inlineStr">
        <is>
          <t>Bidang</t>
        </is>
      </c>
      <c r="B3" s="3" t="inlineStr">
        <is>
          <t>Sisa Semester 1 (Bonus)</t>
        </is>
      </c>
      <c r="C3" s="3" t="inlineStr">
        <is>
          <t>Semester 2</t>
        </is>
      </c>
      <c r="D3" s="3" t="inlineStr">
        <is>
          <t>Total</t>
        </is>
      </c>
    </row>
    <row r="4">
      <c r="A4" s="16" t="inlineStr">
        <is>
          <t>Pribadi</t>
        </is>
      </c>
      <c r="B4" s="17">
        <f>COUNTIFS('Kalender Konten'!$I$5:$I$112,$A4,'Kalender Konten'!$C$5:$C$112,"Sisa Semester 1 (Bonus)")</f>
        <v/>
      </c>
      <c r="C4" s="17">
        <f>COUNTIFS('Kalender Konten'!$I$5:$I$112,$A4,'Kalender Konten'!$C$5:$C$112,"Semester 2")</f>
        <v/>
      </c>
      <c r="D4" s="16">
        <f>SUM(B4:C4)</f>
        <v/>
      </c>
    </row>
    <row r="5">
      <c r="A5" s="16" t="inlineStr">
        <is>
          <t>Sosial</t>
        </is>
      </c>
      <c r="B5" s="17">
        <f>COUNTIFS('Kalender Konten'!$I$5:$I$112,$A5,'Kalender Konten'!$C$5:$C$112,"Sisa Semester 1 (Bonus)")</f>
        <v/>
      </c>
      <c r="C5" s="17">
        <f>COUNTIFS('Kalender Konten'!$I$5:$I$112,$A5,'Kalender Konten'!$C$5:$C$112,"Semester 2")</f>
        <v/>
      </c>
      <c r="D5" s="16">
        <f>SUM(B5:C5)</f>
        <v/>
      </c>
    </row>
    <row r="6">
      <c r="A6" s="16" t="inlineStr">
        <is>
          <t>Belajar</t>
        </is>
      </c>
      <c r="B6" s="17">
        <f>COUNTIFS('Kalender Konten'!$I$5:$I$112,$A6,'Kalender Konten'!$C$5:$C$112,"Sisa Semester 1 (Bonus)")</f>
        <v/>
      </c>
      <c r="C6" s="17">
        <f>COUNTIFS('Kalender Konten'!$I$5:$I$112,$A6,'Kalender Konten'!$C$5:$C$112,"Semester 2")</f>
        <v/>
      </c>
      <c r="D6" s="16">
        <f>SUM(B6:C6)</f>
        <v/>
      </c>
    </row>
    <row r="7">
      <c r="A7" s="16" t="inlineStr">
        <is>
          <t>Karier</t>
        </is>
      </c>
      <c r="B7" s="17">
        <f>COUNTIFS('Kalender Konten'!$I$5:$I$112,$A7,'Kalender Konten'!$C$5:$C$112,"Sisa Semester 1 (Bonus)")</f>
        <v/>
      </c>
      <c r="C7" s="17">
        <f>COUNTIFS('Kalender Konten'!$I$5:$I$112,$A7,'Kalender Konten'!$C$5:$C$112,"Semester 2")</f>
        <v/>
      </c>
      <c r="D7" s="16">
        <f>SUM(B7:C7)</f>
        <v/>
      </c>
    </row>
    <row r="9">
      <c r="A9" s="3" t="inlineStr">
        <is>
          <t>Format</t>
        </is>
      </c>
      <c r="B9" s="3" t="inlineStr">
        <is>
          <t>Sisa Semester 1 (Bonus)</t>
        </is>
      </c>
      <c r="C9" s="3" t="inlineStr">
        <is>
          <t>Semester 2</t>
        </is>
      </c>
      <c r="D9" s="3" t="inlineStr">
        <is>
          <t>Total</t>
        </is>
      </c>
    </row>
    <row r="10">
      <c r="A10" s="16" t="inlineStr">
        <is>
          <t>Carousel</t>
        </is>
      </c>
      <c r="B10" s="17">
        <f>COUNTIFS('Kalender Konten'!$J$5:$J$112,$A10,'Kalender Konten'!$C$5:$C$112,"Sisa Semester 1 (Bonus)")</f>
        <v/>
      </c>
      <c r="C10" s="17">
        <f>COUNTIFS('Kalender Konten'!$J$5:$J$112,$A10,'Kalender Konten'!$C$5:$C$112,"Semester 2")</f>
        <v/>
      </c>
      <c r="D10" s="16">
        <f>SUM(B10:C10)</f>
        <v/>
      </c>
    </row>
    <row r="11">
      <c r="A11" s="16" t="inlineStr">
        <is>
          <t>Infografis</t>
        </is>
      </c>
      <c r="B11" s="17">
        <f>COUNTIFS('Kalender Konten'!$J$5:$J$112,$A11,'Kalender Konten'!$C$5:$C$112,"Sisa Semester 1 (Bonus)")</f>
        <v/>
      </c>
      <c r="C11" s="17">
        <f>COUNTIFS('Kalender Konten'!$J$5:$J$112,$A11,'Kalender Konten'!$C$5:$C$112,"Semester 2")</f>
        <v/>
      </c>
      <c r="D11" s="16">
        <f>SUM(B11:C11)</f>
        <v/>
      </c>
    </row>
    <row r="12">
      <c r="A12" s="16" t="inlineStr">
        <is>
          <t>Kuis Interaktif</t>
        </is>
      </c>
      <c r="B12" s="17">
        <f>COUNTIFS('Kalender Konten'!$J$5:$J$112,$A12,'Kalender Konten'!$C$5:$C$112,"Sisa Semester 1 (Bonus)")</f>
        <v/>
      </c>
      <c r="C12" s="17">
        <f>COUNTIFS('Kalender Konten'!$J$5:$J$112,$A12,'Kalender Konten'!$C$5:$C$112,"Semester 2")</f>
        <v/>
      </c>
      <c r="D12" s="16">
        <f>SUM(B12:C12)</f>
        <v/>
      </c>
    </row>
    <row r="13">
      <c r="A13" s="16" t="inlineStr">
        <is>
          <t>Photo Dump</t>
        </is>
      </c>
      <c r="B13" s="17">
        <f>COUNTIFS('Kalender Konten'!$J$5:$J$112,$A13,'Kalender Konten'!$C$5:$C$112,"Sisa Semester 1 (Bonus)")</f>
        <v/>
      </c>
      <c r="C13" s="17">
        <f>COUNTIFS('Kalender Konten'!$J$5:$J$112,$A13,'Kalender Konten'!$C$5:$C$112,"Semester 2")</f>
        <v/>
      </c>
      <c r="D13" s="16">
        <f>SUM(B13:C13)</f>
        <v/>
      </c>
    </row>
    <row r="14">
      <c r="A14" s="16" t="inlineStr">
        <is>
          <t>Reels</t>
        </is>
      </c>
      <c r="B14" s="17">
        <f>COUNTIFS('Kalender Konten'!$J$5:$J$112,$A14,'Kalender Konten'!$C$5:$C$112,"Sisa Semester 1 (Bonus)")</f>
        <v/>
      </c>
      <c r="C14" s="17">
        <f>COUNTIFS('Kalender Konten'!$J$5:$J$112,$A14,'Kalender Konten'!$C$5:$C$112,"Semester 2")</f>
        <v/>
      </c>
      <c r="D14" s="16">
        <f>SUM(B14:C14)</f>
        <v/>
      </c>
    </row>
    <row r="15">
      <c r="A15" s="16" t="inlineStr">
        <is>
          <t>Single Image</t>
        </is>
      </c>
      <c r="B15" s="17">
        <f>COUNTIFS('Kalender Konten'!$J$5:$J$112,$A15,'Kalender Konten'!$C$5:$C$112,"Sisa Semester 1 (Bonus)")</f>
        <v/>
      </c>
      <c r="C15" s="17">
        <f>COUNTIFS('Kalender Konten'!$J$5:$J$112,$A15,'Kalender Konten'!$C$5:$C$112,"Semester 2")</f>
        <v/>
      </c>
      <c r="D15" s="16">
        <f>SUM(B15:C15)</f>
        <v/>
      </c>
    </row>
    <row r="17">
      <c r="A17" s="3" t="inlineStr">
        <is>
          <t>Status</t>
        </is>
      </c>
      <c r="B17" s="3" t="inlineStr">
        <is>
          <t>Sisa Semester 1 (Bonus)</t>
        </is>
      </c>
      <c r="C17" s="3" t="inlineStr">
        <is>
          <t>Semester 2</t>
        </is>
      </c>
      <c r="D17" s="3" t="inlineStr">
        <is>
          <t>Total</t>
        </is>
      </c>
    </row>
    <row r="18">
      <c r="A18" s="16" t="inlineStr">
        <is>
          <t>Ide</t>
        </is>
      </c>
      <c r="B18" s="17">
        <f>COUNTIFS('Kalender Konten'!$O$5:$O$112,$A18,'Kalender Konten'!$C$5:$C$112,"Sisa Semester 1 (Bonus)")</f>
        <v/>
      </c>
      <c r="C18" s="17">
        <f>COUNTIFS('Kalender Konten'!$O$5:$O$112,$A18,'Kalender Konten'!$C$5:$C$112,"Semester 2")</f>
        <v/>
      </c>
      <c r="D18" s="16">
        <f>SUM(B18:C18)</f>
        <v/>
      </c>
    </row>
    <row r="19">
      <c r="A19" s="16" t="inlineStr">
        <is>
          <t>Naskah</t>
        </is>
      </c>
      <c r="B19" s="17">
        <f>COUNTIFS('Kalender Konten'!$O$5:$O$112,$A19,'Kalender Konten'!$C$5:$C$112,"Sisa Semester 1 (Bonus)")</f>
        <v/>
      </c>
      <c r="C19" s="17">
        <f>COUNTIFS('Kalender Konten'!$O$5:$O$112,$A19,'Kalender Konten'!$C$5:$C$112,"Semester 2")</f>
        <v/>
      </c>
      <c r="D19" s="16">
        <f>SUM(B19:C19)</f>
        <v/>
      </c>
    </row>
    <row r="20">
      <c r="A20" s="16" t="inlineStr">
        <is>
          <t>Desain</t>
        </is>
      </c>
      <c r="B20" s="17">
        <f>COUNTIFS('Kalender Konten'!$O$5:$O$112,$A20,'Kalender Konten'!$C$5:$C$112,"Sisa Semester 1 (Bonus)")</f>
        <v/>
      </c>
      <c r="C20" s="17">
        <f>COUNTIFS('Kalender Konten'!$O$5:$O$112,$A20,'Kalender Konten'!$C$5:$C$112,"Semester 2")</f>
        <v/>
      </c>
      <c r="D20" s="16">
        <f>SUM(B20:C20)</f>
        <v/>
      </c>
    </row>
    <row r="21">
      <c r="A21" s="16" t="inlineStr">
        <is>
          <t>Review</t>
        </is>
      </c>
      <c r="B21" s="17">
        <f>COUNTIFS('Kalender Konten'!$O$5:$O$112,$A21,'Kalender Konten'!$C$5:$C$112,"Sisa Semester 1 (Bonus)")</f>
        <v/>
      </c>
      <c r="C21" s="17">
        <f>COUNTIFS('Kalender Konten'!$O$5:$O$112,$A21,'Kalender Konten'!$C$5:$C$112,"Semester 2")</f>
        <v/>
      </c>
      <c r="D21" s="16">
        <f>SUM(B21:C21)</f>
        <v/>
      </c>
    </row>
    <row r="22">
      <c r="A22" s="16" t="inlineStr">
        <is>
          <t>Terjadwal</t>
        </is>
      </c>
      <c r="B22" s="17">
        <f>COUNTIFS('Kalender Konten'!$O$5:$O$112,$A22,'Kalender Konten'!$C$5:$C$112,"Sisa Semester 1 (Bonus)")</f>
        <v/>
      </c>
      <c r="C22" s="17">
        <f>COUNTIFS('Kalender Konten'!$O$5:$O$112,$A22,'Kalender Konten'!$C$5:$C$112,"Semester 2")</f>
        <v/>
      </c>
      <c r="D22" s="16">
        <f>SUM(B22:C22)</f>
        <v/>
      </c>
    </row>
    <row r="23">
      <c r="A23" s="16" t="inlineStr">
        <is>
          <t>Terunggah</t>
        </is>
      </c>
      <c r="B23" s="17">
        <f>COUNTIFS('Kalender Konten'!$O$5:$O$112,$A23,'Kalender Konten'!$C$5:$C$112,"Sisa Semester 1 (Bonus)")</f>
        <v/>
      </c>
      <c r="C23" s="17">
        <f>COUNTIFS('Kalender Konten'!$O$5:$O$112,$A23,'Kalender Konten'!$C$5:$C$112,"Semester 2")</f>
        <v/>
      </c>
      <c r="D23" s="16">
        <f>SUM(B23:C23)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PANDUAN KALENDER KONTEN</t>
        </is>
      </c>
    </row>
    <row r="2">
      <c r="A2" s="18" t="inlineStr"/>
      <c r="B2" s="19" t="inlineStr"/>
    </row>
    <row r="3">
      <c r="A3" s="20" t="inlineStr">
        <is>
          <t>RUBRIK HARIAN</t>
        </is>
      </c>
    </row>
    <row r="4">
      <c r="A4" s="18" t="inlineStr">
        <is>
          <t>Senin — #SeninStarter</t>
        </is>
      </c>
      <c r="B4" s="19" t="inlineStr">
        <is>
          <t>Motivasi &amp; tips praktis awal minggu (fokus Belajar/Karier)</t>
        </is>
      </c>
    </row>
    <row r="5">
      <c r="A5" s="18" t="inlineStr">
        <is>
          <t>Rabu — #RabuRuangAman</t>
        </is>
      </c>
      <c r="B5" s="19" t="inlineStr">
        <is>
          <t>Edukasi mendalam isu Pribadi/Sosial, bahasa hangat &amp; validatif</t>
        </is>
      </c>
    </row>
    <row r="6">
      <c r="A6" s="18" t="inlineStr">
        <is>
          <t>Jumat — #JumatNgobrolBK</t>
        </is>
      </c>
      <c r="B6" s="19" t="inlineStr">
        <is>
          <t>Konten ringan, relatable, interaktif &amp; kolaborasi (Reels, kuis, Kata Alumni)</t>
        </is>
      </c>
    </row>
    <row r="7">
      <c r="A7" s="18" t="inlineStr">
        <is>
          <t>Stories (harian)</t>
        </is>
      </c>
      <c r="B7" s="19" t="inlineStr">
        <is>
          <t>Polling, kuis, Q&amp;A, countdown, repost — ide per minggu ada di sheet 'Tema Mingguan'.</t>
        </is>
      </c>
    </row>
    <row r="8">
      <c r="A8" s="18" t="inlineStr"/>
      <c r="B8" s="19" t="inlineStr"/>
    </row>
    <row r="9">
      <c r="A9" s="20" t="inlineStr">
        <is>
          <t>BIDANG LAYANAN</t>
        </is>
      </c>
    </row>
    <row r="10">
      <c r="A10" s="18" t="inlineStr">
        <is>
          <t>Pribadi</t>
        </is>
      </c>
      <c r="B10" s="19" t="inlineStr">
        <is>
          <t>Kesehatan mental, emosi, kepercayaan diri, spiritual</t>
        </is>
      </c>
    </row>
    <row r="11">
      <c r="A11" s="18" t="inlineStr">
        <is>
          <t>Sosial</t>
        </is>
      </c>
      <c r="B11" s="19" t="inlineStr">
        <is>
          <t>Pertemanan, keluarga, anti-perundungan, toleransi, keamanan digital</t>
        </is>
      </c>
    </row>
    <row r="12">
      <c r="A12" s="18" t="inlineStr">
        <is>
          <t>Belajar</t>
        </is>
      </c>
      <c r="B12" s="19" t="inlineStr">
        <is>
          <t>Strategi belajar, manajemen waktu, ujian, integritas akademik</t>
        </is>
      </c>
    </row>
    <row r="13">
      <c r="A13" s="18" t="inlineStr">
        <is>
          <t>Karier</t>
        </is>
      </c>
      <c r="B13" s="19" t="inlineStr">
        <is>
          <t>Minat-bakat, prodi &amp; kampus, SNPMB, mapel pilihan, dunia kerja</t>
        </is>
      </c>
    </row>
    <row r="14">
      <c r="A14" s="18" t="inlineStr"/>
      <c r="B14" s="19" t="inlineStr"/>
    </row>
    <row r="15">
      <c r="A15" s="20" t="inlineStr">
        <is>
          <t>FORMAT</t>
        </is>
      </c>
    </row>
    <row r="16">
      <c r="A16" s="18" t="inlineStr">
        <is>
          <t>Carousel</t>
        </is>
      </c>
      <c r="B16" s="19" t="inlineStr">
        <is>
          <t>Edukasi bertahap: Slide 1 hook → isi (1 poin/slide, maks 30 kata) → slide CTA + info layanan BK. Ukuran 1080×1350.</t>
        </is>
      </c>
    </row>
    <row r="17">
      <c r="A17" s="18" t="inlineStr">
        <is>
          <t>Reels</t>
        </is>
      </c>
      <c r="B17" s="19" t="inlineStr">
        <is>
          <t>15–60 detik, hook di 3 detik pertama, teks di layar + subtitle, audio tren yang aman. Ukuran 1080×1920.</t>
        </is>
      </c>
    </row>
    <row r="18">
      <c r="A18" s="18" t="inlineStr">
        <is>
          <t>Single Image</t>
        </is>
      </c>
      <c r="B18" s="19" t="inlineStr">
        <is>
          <t>Quote, ucapan hari besar, pengingat singkat. Teks besar &amp; kontras tinggi.</t>
        </is>
      </c>
    </row>
    <row r="19">
      <c r="A19" s="18" t="inlineStr">
        <is>
          <t>Infografis</t>
        </is>
      </c>
      <c r="B19" s="19" t="inlineStr">
        <is>
          <t>Satu gambar padat informasi (checklist, jadwal, alur). Layak di-save; cantumkan sumber data.</t>
        </is>
      </c>
    </row>
    <row r="20">
      <c r="A20" s="18" t="inlineStr">
        <is>
          <t>Kuis Interaktif</t>
        </is>
      </c>
      <c r="B20" s="19" t="inlineStr">
        <is>
          <t>Carousel kuis + stiker kuis di Stories; jawaban diumumkan di Stories berikutnya.</t>
        </is>
      </c>
    </row>
    <row r="21">
      <c r="A21" s="18" t="inlineStr">
        <is>
          <t>Photo Dump</t>
        </is>
      </c>
      <c r="B21" s="19" t="inlineStr">
        <is>
          <t>Carousel foto dokumentasi kegiatan (maks 10 foto), wajah siswa hanya dengan izin.</t>
        </is>
      </c>
    </row>
    <row r="22">
      <c r="A22" s="18" t="inlineStr"/>
      <c r="B22" s="19" t="inlineStr"/>
    </row>
    <row r="23">
      <c r="A23" s="18" t="inlineStr">
        <is>
          <t>HASHTAG TETAP</t>
        </is>
      </c>
      <c r="B23" s="19" t="inlineStr">
        <is>
          <t>#BKSMANCigalontang #BimbinganKonseling #GuruBK #RemajaBerdaya #SMANRICI</t>
        </is>
      </c>
    </row>
    <row r="24">
      <c r="A24" s="18" t="inlineStr">
        <is>
          <t>Hashtag Pribadi</t>
        </is>
      </c>
      <c r="B24" s="19" t="inlineStr">
        <is>
          <t>#KesehatanMentalRemaja #KenaliDirimu #SelfLove #MentalHealthID</t>
        </is>
      </c>
    </row>
    <row r="25">
      <c r="A25" s="18" t="inlineStr">
        <is>
          <t>Hashtag Sosial</t>
        </is>
      </c>
      <c r="B25" s="19" t="inlineStr">
        <is>
          <t>#AntiBullying #PersahabatanSehat #HubunganSehat #StopKekerasan</t>
        </is>
      </c>
    </row>
    <row r="26">
      <c r="A26" s="18" t="inlineStr">
        <is>
          <t>Hashtag Belajar</t>
        </is>
      </c>
      <c r="B26" s="19" t="inlineStr">
        <is>
          <t>#TipsStudy #MotivasiBelajar #StudyWithMe #BelajarItuAsik</t>
        </is>
      </c>
    </row>
    <row r="27">
      <c r="A27" s="18" t="inlineStr">
        <is>
          <t>Hashtag Karier</t>
        </is>
      </c>
      <c r="B27" s="19" t="inlineStr">
        <is>
          <t>#PilihJurusan #RencanaKarier #MimpiBesar #GenZBekerja</t>
        </is>
      </c>
    </row>
    <row r="28">
      <c r="A28" s="18" t="inlineStr"/>
      <c r="B28" s="19" t="inlineStr"/>
    </row>
    <row r="29">
      <c r="A29" s="20" t="inlineStr">
        <is>
          <t>CATATAN PENTING</t>
        </is>
      </c>
    </row>
    <row r="30">
      <c r="A30" s="18" t="inlineStr">
        <is>
          <t>Hari libur</t>
        </is>
      </c>
      <c r="B30" s="19" t="inlineStr">
        <is>
          <t>Konten tetap diunggah memakai fitur jadwal (Meta Business Suite / Instagram scheduler).</t>
        </is>
      </c>
    </row>
    <row r="31">
      <c r="A31" s="18" t="inlineStr">
        <is>
          <t>Tanggal perkiraan</t>
        </is>
      </c>
      <c r="B31" s="19" t="inlineStr">
        <is>
          <t>Tanggal SNPMB/UTBK, TKA, dan hari besar berlabel 'perkiraan' wajib dicek ulang ke sumber resmi sebelum diunggah.</t>
        </is>
      </c>
    </row>
    <row r="32">
      <c r="A32" s="18" t="inlineStr">
        <is>
          <t>Privasi siswa</t>
        </is>
      </c>
      <c r="B32" s="19" t="inlineStr">
        <is>
          <t>Tidak menampilkan wajah/identitas siswa tanpa izin tertulis; cerita kasus selalu fiktif atau dianonimkan.</t>
        </is>
      </c>
    </row>
    <row r="33">
      <c r="A33" s="18" t="inlineStr">
        <is>
          <t>Topik sensitif</t>
        </is>
      </c>
      <c r="B33" s="19" t="inlineStr">
        <is>
          <t>Self-harm, kekerasan seksual, judol, narkoba: ikuti safe messaging, cantumkan layanan BK, SAPA 129, Into The Light (119 ext 8).</t>
        </is>
      </c>
    </row>
    <row r="34">
      <c r="A34" s="18" t="inlineStr">
        <is>
          <t>Kolaborasi</t>
        </is>
      </c>
      <c r="B34" s="19" t="inlineStr">
        <is>
          <t>Hubungi mitra (OSIS, Rohis, PMR/UKS, guru mapel, alumni, Puskesmas, BNNK) minimal 1 minggu sebelum tanggal unggah.</t>
        </is>
      </c>
    </row>
    <row r="35">
      <c r="A35" s="18" t="inlineStr">
        <is>
          <t>Alur status</t>
        </is>
      </c>
      <c r="B35" s="19" t="inlineStr">
        <is>
          <t>Ide → Naskah → Desain → Review (Guru BK) → Terjadwal → Terunggah.</t>
        </is>
      </c>
    </row>
    <row r="36">
      <c r="A36" s="18" t="inlineStr">
        <is>
          <t>Sumber</t>
        </is>
      </c>
      <c r="B36" s="19" t="inlineStr">
        <is>
          <t>Kalender Pendidikan SMAN 1 Cigalontang TA 2026/2027 (ditetapkan 15 Juli 2026).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2026-10-17T02:56:28Z</dcterms:created>
  <dcterms:modified xmlns:dcterms="http://purl.org/dc/terms/" xmlns:xsi="http://www.w3.org/2001/XMLSchema-instance" xsi:type="dcterms:W3CDTF">2026-10-17T02:56:28Z</dcterms:modified>
</cp:coreProperties>
</file>