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⚙ Pengaturan" state="visible" r:id="rId4"/>
    <sheet sheetId="2" name="📋 Kode Kegiatan" state="visible" r:id="rId5"/>
    <sheet sheetId="3" name="📂 Kode Rekening" state="visible" r:id="rId6"/>
    <sheet sheetId="4" name="📂 Kode Rekening BOPD Jabar" state="visible" r:id="rId7"/>
    <sheet sheetId="5" name="✏️ Rancangan Anggaran" state="visible" r:id="rId8"/>
    <sheet sheetId="6" name="⚠️ Kontrol Batas BOSP" state="visible" r:id="rId9"/>
    <sheet sheetId="7" name="📊 Rekap BOSP" state="visible" r:id="rId10"/>
    <sheet sheetId="8" name="📊 Rekap BOPD" state="visible" r:id="rId11"/>
    <sheet sheetId="9" name="📈 Rekap Gabungan" state="visible" r:id="rId12"/>
    <sheet sheetId="10" name="🖨️ Laporan KS" state="visible" r:id="rId13"/>
    <sheet sheetId="11" name="ℹ️ Petunjuk" state="visible" r:id="rId14"/>
  </sheets>
  <definedNames>
    <definedName name="_xlnm.Print_Titles" localSheetId="9">'🖨️ Laporan KS'!$1:$4</definedName>
  </definedNames>
  <calcPr calcId="171027"/>
</workbook>
</file>

<file path=xl/sharedStrings.xml><?xml version="1.0" encoding="utf-8"?>
<sst xmlns="http://schemas.openxmlformats.org/spreadsheetml/2006/main" count="705" uniqueCount="430">
  <si>
    <t>PENGATURAN APLIKASI RANCANGAN ANGGARAN ARKAS</t>
  </si>
  <si>
    <t>SMA Negeri 1 Cigalontang — Provinsi Jawa Barat</t>
  </si>
  <si>
    <t>🏫  Nama Sekolah</t>
  </si>
  <si>
    <t>SMA Negeri 1 Cigalontang</t>
  </si>
  <si>
    <t>🔢  NPSN</t>
  </si>
  <si>
    <t>20212066</t>
  </si>
  <si>
    <t>📍  Alamat</t>
  </si>
  <si>
    <t>Jl. Cigalontang, Kec. Cigalontang</t>
  </si>
  <si>
    <t>🗺️  Kabupaten/Kota</t>
  </si>
  <si>
    <t>Kabupaten Tasikmalaya</t>
  </si>
  <si>
    <t>🗺️  Provinsi</t>
  </si>
  <si>
    <t>Jawa Barat</t>
  </si>
  <si>
    <t>📅  Tahun Anggaran</t>
  </si>
  <si>
    <t>👤  Kepala Sekolah</t>
  </si>
  <si>
    <t/>
  </si>
  <si>
    <t>💼  Bendahara BOSP</t>
  </si>
  <si>
    <t>💼  Bendahara BOPD</t>
  </si>
  <si>
    <t>👥  Jumlah Siswa (awal)</t>
  </si>
  <si>
    <t>💰  Total Alokasi BOSP (Rp)</t>
  </si>
  <si>
    <t>💰  Total Alokasi BOPD (Rp)</t>
  </si>
  <si>
    <t>🗓️  Tanggal Dibuat</t>
  </si>
  <si>
    <t>⚠️  Isi Total Alokasi BOSP (E15) dan BOPD (E16) dengan benar — digunakan untuk perhitungan peringatan batas anggaran di sheet Kontrol Batas.</t>
  </si>
  <si>
    <t>REFERENSI KODE KEGIATAN ARKAS</t>
  </si>
  <si>
    <t>Permendikbudristek No. 2 Tahun 2022 tentang BOSP — berlaku untuk BOSP dan BOPD</t>
  </si>
  <si>
    <t>Kode</t>
  </si>
  <si>
    <t>Nama Komponen / Kegiatan</t>
  </si>
  <si>
    <t>Keterangan / Contoh Kegiatan</t>
  </si>
  <si>
    <t>Sumber Dana</t>
  </si>
  <si>
    <t>1</t>
  </si>
  <si>
    <t>Penerimaan Peserta Didik Baru</t>
  </si>
  <si>
    <t>PPDB, seleksi, orientasi siswa baru</t>
  </si>
  <si>
    <t>BOSP, BOPD</t>
  </si>
  <si>
    <t>2</t>
  </si>
  <si>
    <t>Pengembangan Perpustakaan</t>
  </si>
  <si>
    <t>Buku teks, buku pengayaan, langganan jurnal/e-book</t>
  </si>
  <si>
    <t>3</t>
  </si>
  <si>
    <t>Kegiatan Pembelajaran dan Ekstrakurikuler</t>
  </si>
  <si>
    <t>Praktek, lab, KBM, ekskul, OSIS, Pramuka, PMR</t>
  </si>
  <si>
    <t>4</t>
  </si>
  <si>
    <t>Asesmen/Evaluasi Pembelajaran dan Rapor</t>
  </si>
  <si>
    <t>PH, PTS, PAS, ANBK, SKL, rapor digital</t>
  </si>
  <si>
    <t>5</t>
  </si>
  <si>
    <t>Administrasi Sekolah dan Pengelolaan</t>
  </si>
  <si>
    <t>ATK, pengelolaan keuangan, asuransi, pelaporan</t>
  </si>
  <si>
    <t>6</t>
  </si>
  <si>
    <t>Pengembangan Profesi GTK</t>
  </si>
  <si>
    <t>Diklat, seminar, workshop, MGMP, IHT, magang</t>
  </si>
  <si>
    <t>7</t>
  </si>
  <si>
    <t>Langganan Daya dan Jasa</t>
  </si>
  <si>
    <t>Listrik, air, telepon, internet, pajak</t>
  </si>
  <si>
    <t>8</t>
  </si>
  <si>
    <t>Pemeliharaan Sarana dan Prasarana</t>
  </si>
  <si>
    <t>Perbaikan gedung, peralatan, mebeler, kendaraan</t>
  </si>
  <si>
    <t>9</t>
  </si>
  <si>
    <t>Penyediaan Alat Multi Media Pembelajaran</t>
  </si>
  <si>
    <t>Laptop, proyektor, printer, speaker, kamera</t>
  </si>
  <si>
    <t>10</t>
  </si>
  <si>
    <t>Pembayaran Honor</t>
  </si>
  <si>
    <t>Honor GTT, PTT, dan tenaga non-ASN lainnya</t>
  </si>
  <si>
    <t>11</t>
  </si>
  <si>
    <t>Kegiatan Peningkatan Kompetensi Keahlian</t>
  </si>
  <si>
    <t>Khusus SMK: prakerin, teaching factory, BKK</t>
  </si>
  <si>
    <t>12</t>
  </si>
  <si>
    <t>Layanan Bantuan Siswa (Afirmasi)</t>
  </si>
  <si>
    <t>Beasiswa prestasi, siswa kurang mampu, inklusi</t>
  </si>
  <si>
    <t>13</t>
  </si>
  <si>
    <t>Pemberdayaan Masyarakat Sekitar Sekolah</t>
  </si>
  <si>
    <t>Komite, sosialisasi, kemitraan komunitas</t>
  </si>
  <si>
    <t>REFERENSI KODE REKENING BELANJA — NASIONAL (BAS / SIPD)</t>
  </si>
  <si>
    <t>Digunakan untuk kegiatan yang dibiayai BOSP — Berlaku di semua provinsi</t>
  </si>
  <si>
    <t>Kode Rekening</t>
  </si>
  <si>
    <t>Uraian Rekening</t>
  </si>
  <si>
    <t>Kelompok Belanja</t>
  </si>
  <si>
    <t>Keterangan</t>
  </si>
  <si>
    <t>▌ BARANG HABIS PAKAI</t>
  </si>
  <si>
    <t>5.1.02.01.0001</t>
  </si>
  <si>
    <t>Belanja Alat Tulis Kantor</t>
  </si>
  <si>
    <t>Barang Habis Pakai</t>
  </si>
  <si>
    <t>5.1.02.01.0002</t>
  </si>
  <si>
    <t>Belanja Alat Listrik dan Elektronik</t>
  </si>
  <si>
    <t>5.1.02.01.0003</t>
  </si>
  <si>
    <t>Belanja Perangko, Materai dan Benda Pos</t>
  </si>
  <si>
    <t>5.1.02.01.0004</t>
  </si>
  <si>
    <t>Belanja Peralatan Kebersihan dan Bahan Pembersih</t>
  </si>
  <si>
    <t>5.1.02.01.0005</t>
  </si>
  <si>
    <t>Belanja Bahan Bakar Minyak/Gas</t>
  </si>
  <si>
    <t>5.1.02.01.0006</t>
  </si>
  <si>
    <t>Belanja Barang Pakai Habis Lainnya</t>
  </si>
  <si>
    <t>▌ BAHAN/MATERIAL</t>
  </si>
  <si>
    <t>5.1.02.02.0001</t>
  </si>
  <si>
    <t>Belanja Buku Teks Pelajaran</t>
  </si>
  <si>
    <t>Bahan/Material</t>
  </si>
  <si>
    <t>5.1.02.02.0002</t>
  </si>
  <si>
    <t>Belanja Buku Pengayaan / Referensi</t>
  </si>
  <si>
    <t>5.1.02.02.0003</t>
  </si>
  <si>
    <t>Belanja Bahan Praktik / Laboratorium</t>
  </si>
  <si>
    <t>5.1.02.02.0004</t>
  </si>
  <si>
    <t>Belanja Bahan Bangunan / Material Pemeliharaan</t>
  </si>
  <si>
    <t>5.1.02.02.0005</t>
  </si>
  <si>
    <t>Belanja Bahan Lainnya</t>
  </si>
  <si>
    <t>▌ JASA KANTOR</t>
  </si>
  <si>
    <t>5.1.02.03.0001</t>
  </si>
  <si>
    <t>Belanja Jasa Listrik</t>
  </si>
  <si>
    <t>Jasa Kantor</t>
  </si>
  <si>
    <t>5.1.02.03.0002</t>
  </si>
  <si>
    <t>Belanja Jasa Air / PDAM</t>
  </si>
  <si>
    <t>5.1.02.03.0003</t>
  </si>
  <si>
    <t>Belanja Jasa Telepon</t>
  </si>
  <si>
    <t>5.1.02.03.0004</t>
  </si>
  <si>
    <t>Belanja Jasa Internet / Bandwidth</t>
  </si>
  <si>
    <t>5.1.02.03.0005</t>
  </si>
  <si>
    <t>Belanja Jasa Kebersihan / Keamanan</t>
  </si>
  <si>
    <t>5.1.02.03.0006</t>
  </si>
  <si>
    <t>Belanja Jasa Kantor Lainnya</t>
  </si>
  <si>
    <t>▌ CETAK &amp; PENGGANDAAN</t>
  </si>
  <si>
    <t>5.1.02.06.0001</t>
  </si>
  <si>
    <t>Belanja Cetak</t>
  </si>
  <si>
    <t>Cetak &amp; Penggandaan</t>
  </si>
  <si>
    <t>5.1.02.06.0002</t>
  </si>
  <si>
    <t>Belanja Penggandaan / Fotokopi</t>
  </si>
  <si>
    <t>▌ SEWA</t>
  </si>
  <si>
    <t>5.1.02.07.0001</t>
  </si>
  <si>
    <t>Belanja Sewa Gedung / Aula / Ruangan</t>
  </si>
  <si>
    <t>Sewa</t>
  </si>
  <si>
    <t>5.1.02.08.0001</t>
  </si>
  <si>
    <t>Belanja Sewa Kendaraan</t>
  </si>
  <si>
    <t>5.1.02.10.0001</t>
  </si>
  <si>
    <t>Belanja Sewa Peralatan / Perlengkapan</t>
  </si>
  <si>
    <t>▌ MAKAN &amp; MINUM</t>
  </si>
  <si>
    <t>5.1.02.11.0001</t>
  </si>
  <si>
    <t>Belanja Makan dan Minum Rapat</t>
  </si>
  <si>
    <t>Makan &amp; Minum</t>
  </si>
  <si>
    <t>5.1.02.11.0002</t>
  </si>
  <si>
    <t>Belanja Makan dan Minum Kegiatan</t>
  </si>
  <si>
    <t>5.1.02.11.0003</t>
  </si>
  <si>
    <t>Belanja Makan dan Minum Tamu</t>
  </si>
  <si>
    <t>▌ PAKAIAN</t>
  </si>
  <si>
    <t>5.1.02.14.0001</t>
  </si>
  <si>
    <t>Belanja Pakaian Batik Tradisional</t>
  </si>
  <si>
    <t>Pakaian</t>
  </si>
  <si>
    <t>5.1.02.14.0002</t>
  </si>
  <si>
    <t>Belanja Pakaian Olahraga</t>
  </si>
  <si>
    <t>5.1.02.14.0003</t>
  </si>
  <si>
    <t>Belanja Pakaian Kegiatan Khusus</t>
  </si>
  <si>
    <t>▌ PERJALANAN DINAS</t>
  </si>
  <si>
    <t>5.1.02.15.0001</t>
  </si>
  <si>
    <t>Belanja Perjalanan Dinas Dalam Daerah</t>
  </si>
  <si>
    <t>Perjalanan Dinas</t>
  </si>
  <si>
    <t>5.1.02.15.0002</t>
  </si>
  <si>
    <t>Belanja Perjalanan Dinas Luar Daerah</t>
  </si>
  <si>
    <t>▌ PELATIHAN</t>
  </si>
  <si>
    <t>5.1.02.17.0001</t>
  </si>
  <si>
    <t>Belanja Kursus / Pelatihan / Bimtek</t>
  </si>
  <si>
    <t>Pelatihan</t>
  </si>
  <si>
    <t>5.1.02.17.0002</t>
  </si>
  <si>
    <t>Belanja Sosialisasi / Workshop / Seminar</t>
  </si>
  <si>
    <t>▌ HONORARIUM</t>
  </si>
  <si>
    <t>5.1.02.18.0001</t>
  </si>
  <si>
    <t>Belanja Honorarium Narasumber / Instruktur</t>
  </si>
  <si>
    <t>Honorarium</t>
  </si>
  <si>
    <t>5.1.02.18.0002</t>
  </si>
  <si>
    <t>Belanja Honorarium Panitia Kegiatan</t>
  </si>
  <si>
    <t>5.1.02.18.0003</t>
  </si>
  <si>
    <t>Belanja Honorarium GTT / PTT Non-ASN</t>
  </si>
  <si>
    <t>5.1.02.18.0004</t>
  </si>
  <si>
    <t>Belanja Honorarium Pengawas Ujian</t>
  </si>
  <si>
    <t>5.1.02.18.0005</t>
  </si>
  <si>
    <t>Belanja Honorarium Lainnya</t>
  </si>
  <si>
    <t>▌ PEMELIHARAAN</t>
  </si>
  <si>
    <t>5.1.02.20.0001</t>
  </si>
  <si>
    <t>Belanja Pemeliharaan Gedung / Ruang Kelas</t>
  </si>
  <si>
    <t>Pemeliharaan</t>
  </si>
  <si>
    <t>5.1.02.20.0002</t>
  </si>
  <si>
    <t>Belanja Pemeliharaan Peralatan dan Mesin</t>
  </si>
  <si>
    <t>5.1.02.20.0003</t>
  </si>
  <si>
    <t>Belanja Pemeliharaan Kendaraan Bermotor</t>
  </si>
  <si>
    <t>5.1.02.20.0004</t>
  </si>
  <si>
    <t>Belanja Pemeliharaan Mebeler</t>
  </si>
  <si>
    <t>5.1.02.20.0005</t>
  </si>
  <si>
    <t>Belanja Pemeliharaan Jaringan Listrik/Air/IT</t>
  </si>
  <si>
    <t>▌ JASA KONSULTANSI</t>
  </si>
  <si>
    <t>5.1.02.21.0001</t>
  </si>
  <si>
    <t>Belanja Jasa Konsultansi / Tenaga Ahli</t>
  </si>
  <si>
    <t>Jasa Konsultansi</t>
  </si>
  <si>
    <t>▌ BELANJA MODAL</t>
  </si>
  <si>
    <t>5.2.02.0001</t>
  </si>
  <si>
    <t>Belanja Modal Komputer / Laptop / Tablet</t>
  </si>
  <si>
    <t>Belanja Modal</t>
  </si>
  <si>
    <t>5.2.02.0002</t>
  </si>
  <si>
    <t>Belanja Modal Proyektor / LCD / LED</t>
  </si>
  <si>
    <t>5.2.02.0003</t>
  </si>
  <si>
    <t>Belanja Modal Printer / Scanner / Mesin Fotokopi</t>
  </si>
  <si>
    <t>5.2.02.0004</t>
  </si>
  <si>
    <t>Belanja Modal Peralatan Lab IPA/Komputer/Bahasa</t>
  </si>
  <si>
    <t>5.2.02.0005</t>
  </si>
  <si>
    <t>Belanja Modal Mebeler (Meja, Kursi, Lemari)</t>
  </si>
  <si>
    <t>5.2.02.0006</t>
  </si>
  <si>
    <t>Belanja Modal Peralatan Olahraga / Seni</t>
  </si>
  <si>
    <t>5.2.02.0007</t>
  </si>
  <si>
    <t>Belanja Modal Peralatan Lainnya</t>
  </si>
  <si>
    <t>5.2.03.0001</t>
  </si>
  <si>
    <t>Belanja Modal Gedung dan Bangunan</t>
  </si>
  <si>
    <t>5.2.05.0001</t>
  </si>
  <si>
    <t>Belanja Modal Buku Perpustakaan</t>
  </si>
  <si>
    <t>REFERENSI KODE REKENING BELANJA — BOPD PROVINSI JAWA BARAT</t>
  </si>
  <si>
    <t>Berdasarkan Pergub Jabar &amp; SIPD Provinsi Jawa Barat — Khusus Dana BOPD SMA/SMK/SLB Negeri</t>
  </si>
  <si>
    <t>⚠️  Catatan: Konfirmasi kode rekening final ke operator SIPD/BOPD Dinas Pendidikan Provinsi Jabar sebelum memasukkan ke sistem. Kode sub-rincian dapat berubah setiap tahun anggaran.</t>
  </si>
  <si>
    <t>▌ BELANJA PEGAWAI BOPD</t>
  </si>
  <si>
    <t>5.1.01.01.0001</t>
  </si>
  <si>
    <t>Belanja Gaji / Honorarium GTT (Guru Tidak Tetap)</t>
  </si>
  <si>
    <t>Belanja Pegawai BOPD</t>
  </si>
  <si>
    <t>BOPD</t>
  </si>
  <si>
    <t>5.1.01.01.0002</t>
  </si>
  <si>
    <t>Belanja Gaji / Honorarium PTT (Pegawai Tidak Tetap)</t>
  </si>
  <si>
    <t>5.1.01.01.0003</t>
  </si>
  <si>
    <t>Belanja Honorarium Tenaga Kependidikan Non-ASN</t>
  </si>
  <si>
    <t>5.1.01.02.0001</t>
  </si>
  <si>
    <t>Belanja Tambahan Penghasilan (Tunjangan Daerah)</t>
  </si>
  <si>
    <t>▌ BARANG HABIS PAKAI BOPD</t>
  </si>
  <si>
    <t>5.1.02.01.0011</t>
  </si>
  <si>
    <t>Belanja ATK (BOPD)</t>
  </si>
  <si>
    <t>Barang Habis Pakai BOPD</t>
  </si>
  <si>
    <t>5.1.02.01.0012</t>
  </si>
  <si>
    <t>Belanja Bahan Praktik Siswa (BOPD)</t>
  </si>
  <si>
    <t>5.1.02.01.0013</t>
  </si>
  <si>
    <t>Belanja Bahan Kebersihan Lingkungan Sekolah (BOPD)</t>
  </si>
  <si>
    <t>▌ BAHAN/MATERIAL BOPD</t>
  </si>
  <si>
    <t>5.1.02.02.0011</t>
  </si>
  <si>
    <t>Belanja Buku Pegangan Guru (BOPD)</t>
  </si>
  <si>
    <t>Bahan/Material BOPD</t>
  </si>
  <si>
    <t>5.1.02.02.0012</t>
  </si>
  <si>
    <t>Belanja Modul/LKS Siswa (BOPD)</t>
  </si>
  <si>
    <t>▌ JASA KANTOR BOPD</t>
  </si>
  <si>
    <t>5.1.02.03.0011</t>
  </si>
  <si>
    <t>Belanja Langganan Listrik (BOPD)</t>
  </si>
  <si>
    <t>Jasa Kantor BOPD</t>
  </si>
  <si>
    <t>5.1.02.03.0012</t>
  </si>
  <si>
    <t>Belanja Langganan Air (BOPD)</t>
  </si>
  <si>
    <t>5.1.02.03.0013</t>
  </si>
  <si>
    <t>Belanja Langganan Internet / Speedy (BOPD)</t>
  </si>
  <si>
    <t>▌ CETAK &amp; PENGGANDAAN BOPD</t>
  </si>
  <si>
    <t>5.1.02.06.0011</t>
  </si>
  <si>
    <t>Belanja Cetak Formulir / Administrasi (BOPD)</t>
  </si>
  <si>
    <t>Cetak &amp; Penggandaan BOPD</t>
  </si>
  <si>
    <t>5.1.02.06.0012</t>
  </si>
  <si>
    <t>Belanja Penggandaan Soal Ulangan (BOPD)</t>
  </si>
  <si>
    <t>▌ MAKAN &amp; MINUM BOPD</t>
  </si>
  <si>
    <t>5.1.02.11.0011</t>
  </si>
  <si>
    <t>Belanja Makan dan Minum Rapat Dinas (BOPD)</t>
  </si>
  <si>
    <t>Makan &amp; Minum BOPD</t>
  </si>
  <si>
    <t>5.1.02.11.0012</t>
  </si>
  <si>
    <t>Belanja Makan dan Minum Kegiatan MPLS/PPDB (BOPD)</t>
  </si>
  <si>
    <t>▌ PERJALANAN DINAS BOPD</t>
  </si>
  <si>
    <t>5.1.02.15.0011</t>
  </si>
  <si>
    <t>Belanja Perjalanan Dinas Dalam Provinsi (BOPD)</t>
  </si>
  <si>
    <t>Perjalanan Dinas BOPD</t>
  </si>
  <si>
    <t>▌ PELATIHAN BOPD</t>
  </si>
  <si>
    <t>5.1.02.17.0011</t>
  </si>
  <si>
    <t>Belanja Pelatihan / Workshop / IHT Guru (BOPD)</t>
  </si>
  <si>
    <t>Pelatihan BOPD</t>
  </si>
  <si>
    <t>5.1.02.17.0012</t>
  </si>
  <si>
    <t>Belanja MGMP / KKG / MKKS Tingkat Kab/Kota (BOPD)</t>
  </si>
  <si>
    <t>▌ PEMELIHARAAN BOPD</t>
  </si>
  <si>
    <t>5.1.02.20.0011</t>
  </si>
  <si>
    <t>Belanja Rehab Ringan Gedung / Ruang Kelas (BOPD)</t>
  </si>
  <si>
    <t>Pemeliharaan BOPD</t>
  </si>
  <si>
    <t>5.1.02.20.0012</t>
  </si>
  <si>
    <t>Belanja Pemeliharaan Sanitasi / Toilet Sekolah (BOPD)</t>
  </si>
  <si>
    <t>5.1.02.20.0013</t>
  </si>
  <si>
    <t>Belanja Pemeliharaan Sarana TIK (BOPD)</t>
  </si>
  <si>
    <t>5.1.02.20.0014</t>
  </si>
  <si>
    <t>Belanja Cat / Pengecatan Gedung Sekolah (BOPD)</t>
  </si>
  <si>
    <t>▌ KEGIATAN KHUSUS BOPD JABAR</t>
  </si>
  <si>
    <t>5.1.02.99.0001</t>
  </si>
  <si>
    <t>Belanja Kegiatan PDBK / Inklusi (BOPD)</t>
  </si>
  <si>
    <t>Kegiatan Khusus BOPD Jabar</t>
  </si>
  <si>
    <t>5.1.02.99.0002</t>
  </si>
  <si>
    <t>Belanja Kegiatan Penguatan Profil Pelajar Pancasila (BOPD)</t>
  </si>
  <si>
    <t>5.1.02.99.0003</t>
  </si>
  <si>
    <t>Belanja Kegiatan Pencegahan Perundungan/Narkoba (BOPD)</t>
  </si>
  <si>
    <t>5.1.02.99.0004</t>
  </si>
  <si>
    <t>Belanja Penyusunan Dokumen Kurikulum Operasional (BOPD)</t>
  </si>
  <si>
    <t>5.1.02.99.0005</t>
  </si>
  <si>
    <t>Belanja Kegiatan Akreditasi Sekolah (BOPD)</t>
  </si>
  <si>
    <t>▌ BELANJA MODAL BOPD</t>
  </si>
  <si>
    <t>5.2.02.0011</t>
  </si>
  <si>
    <t>Belanja Modal Peralatan Laboratorium (BOPD)</t>
  </si>
  <si>
    <t>Belanja Modal BOPD</t>
  </si>
  <si>
    <t>5.2.02.0012</t>
  </si>
  <si>
    <t>Belanja Modal Mebeler Ruang Kelas (BOPD)</t>
  </si>
  <si>
    <t>5.2.02.0013</t>
  </si>
  <si>
    <t>Belanja Modal Peralatan TIK / Komputer (BOPD)</t>
  </si>
  <si>
    <t>RANCANGAN KEGIATAN DAN ANGGARAN SEKOLAH (RKAS)</t>
  </si>
  <si>
    <t>SMA Negeri 1 Cigalontang — Kabupaten Tasikmalaya — Provinsi Jawa Barat</t>
  </si>
  <si>
    <t>Tahun Anggaran 2026  |  Sumber Dana: BOSP &amp; BOPD  |  150 baris tersedia</t>
  </si>
  <si>
    <t>KEGIATAN</t>
  </si>
  <si>
    <t>BELANJA</t>
  </si>
  <si>
    <t>ANGGARAN</t>
  </si>
  <si>
    <t>JADWAL &amp; STATUS</t>
  </si>
  <si>
    <t>REALISASI</t>
  </si>
  <si>
    <t>No</t>
  </si>
  <si>
    <t xml:space="preserve">Kode
Keg</t>
  </si>
  <si>
    <t>Nama Kegiatan</t>
  </si>
  <si>
    <t xml:space="preserve">Kode
Rekening</t>
  </si>
  <si>
    <t xml:space="preserve">Uraian
Rekening</t>
  </si>
  <si>
    <t xml:space="preserve">Uraian Rincian
(detail barang/jasa)</t>
  </si>
  <si>
    <t>Vol</t>
  </si>
  <si>
    <t>Sat</t>
  </si>
  <si>
    <t xml:space="preserve">Harga
Satuan (Rp)</t>
  </si>
  <si>
    <t xml:space="preserve">Jumlah
(Rp)</t>
  </si>
  <si>
    <t xml:space="preserve">Sumber
Dana</t>
  </si>
  <si>
    <t xml:space="preserve">Alokasi
BOSP (Rp)</t>
  </si>
  <si>
    <t xml:space="preserve">Alokasi
BOPD (Rp)</t>
  </si>
  <si>
    <t>Semester</t>
  </si>
  <si>
    <t xml:space="preserve">Tri-
wulan</t>
  </si>
  <si>
    <t xml:space="preserve">Status
Rencana</t>
  </si>
  <si>
    <t xml:space="preserve">Realisasi
(Rp)</t>
  </si>
  <si>
    <t xml:space="preserve">%
Realisasi</t>
  </si>
  <si>
    <t xml:space="preserve">Sisa
Anggaran (Rp)</t>
  </si>
  <si>
    <t xml:space="preserve">Status
Realisasi</t>
  </si>
  <si>
    <t>TOTAL KESELURUHAN</t>
  </si>
  <si>
    <t>KONTROL BATAS PENGGUNAAN DANA BOSP</t>
  </si>
  <si>
    <t>Berdasarkan Permendikbudristek No. 2/2022 &amp; Juknis BOSP 2024 — Peringatan otomatis jika anggaran melampaui/tidak mencapai batas</t>
  </si>
  <si>
    <t>📌 Informasi Alokasi (dari sheet Pengaturan)</t>
  </si>
  <si>
    <t>Total Alokasi BOSP (Rp)</t>
  </si>
  <si>
    <t>Total Alokasi BOPD (Rp)</t>
  </si>
  <si>
    <t>Total Rencana BOSP (dari Rancangan)</t>
  </si>
  <si>
    <t>Total Rencana BOPD (dari Rancangan)</t>
  </si>
  <si>
    <t>Sisa Alokasi BOSP (Rp)</t>
  </si>
  <si>
    <t>Sisa Alokasi BOPD (Rp)</t>
  </si>
  <si>
    <t>🚦 Tabel Kontrol Batas Per Komponen Kegiatan</t>
  </si>
  <si>
    <t>Komponen</t>
  </si>
  <si>
    <t xml:space="preserve">Jenis
Batas</t>
  </si>
  <si>
    <t xml:space="preserve">Batas (%)
Regulasi</t>
  </si>
  <si>
    <t xml:space="preserve">Nilai Batas
(Rp)</t>
  </si>
  <si>
    <t xml:space="preserve">Rencana
(Rp)</t>
  </si>
  <si>
    <t xml:space="preserve">% Rencana
thd BOSP</t>
  </si>
  <si>
    <t>Status</t>
  </si>
  <si>
    <t>Regulasi / Catatan</t>
  </si>
  <si>
    <t>Pembayaran Honor (Kode 10)</t>
  </si>
  <si>
    <t>MAKSIMUM</t>
  </si>
  <si>
    <t xml:space="preserve">Honor GTT/PTT tidak boleh melebihi 50% dari total BOSP yang diterima dalam satu tahun anggaran.
[Permendikbudristek No. 2/2022 Pasal 9 ayat (2)]</t>
  </si>
  <si>
    <t>Pengembangan Perpustakaan / Buku (Kode 2)</t>
  </si>
  <si>
    <t>MINIMUM</t>
  </si>
  <si>
    <t xml:space="preserve">Sekolah dianjurkan mengalokasikan minimal 5% BOSP untuk pengadaan buku guna memenuhi rasio 1 buku per siswa per mata pelajaran.
[Permendikbudristek No. 2/2022 Lampiran I]</t>
  </si>
  <si>
    <t>Pemeliharaan Sarana dan Prasarana (Kode 8)</t>
  </si>
  <si>
    <t xml:space="preserve">Pemeliharaan sapras disarankan tidak melebihi 20% BOSP. Jika perlu rehab berat, gunakan sumber dana BOPD atau DAK Fisik.
[Permendikbudristek No. 2/2022 Lampiran I + Juknis BOSP 2024]</t>
  </si>
  <si>
    <t>Pembelajaran &amp; Ekstrakurikuler (Kode 3)</t>
  </si>
  <si>
    <t xml:space="preserve">Kegiatan pembelajaran adalah inti penggunaan BOSP. Disarankan minimal 10% dialokasikan untuk komponen ini.
[Permendikbudristek No. 2/2022 Lampiran I]</t>
  </si>
  <si>
    <t>🚫 LARANGAN PENGGUNAAN DANA BOSP (tidak boleh sama sekali)</t>
  </si>
  <si>
    <t xml:space="preserve">  ✗  Membangun gedung/ruangan baru (kecuali toilet/WC yang belum ada)</t>
  </si>
  <si>
    <t xml:space="preserve">  ✗  Membayar gaji/tunjangan PNS/PPPK yang sudah ditanggung APBN/APBD</t>
  </si>
  <si>
    <t xml:space="preserve">  ✗  Investasi saham atau membayar cicilan/bunga utang</t>
  </si>
  <si>
    <t xml:space="preserve">  ✗  Membeli pakaian/seragam untuk siswa maupun guru</t>
  </si>
  <si>
    <t xml:space="preserve">  ✗  Membayar iuran/dana untuk kepentingan pribadi</t>
  </si>
  <si>
    <t xml:space="preserve">  ✗  Uang transpor untuk siswa reguler (bukan afirmasi)</t>
  </si>
  <si>
    <t xml:space="preserve">  ✗  Membeli aset tetap bernilai di atas Rp 1.500.000 dengan sumber non-modal (harus kode 5.2.xx)</t>
  </si>
  <si>
    <t>REKAPITULASI ANGGARAN — BOSP</t>
  </si>
  <si>
    <t>SMA Negeri 1 Cigalontang | Tahun Anggaran 2026 | Dana: BOSP</t>
  </si>
  <si>
    <t>Rencana BOSP (Rp)</t>
  </si>
  <si>
    <t>Realisasi BOSP (Rp)</t>
  </si>
  <si>
    <t>% Rencana</t>
  </si>
  <si>
    <t>% Realisasi</t>
  </si>
  <si>
    <t>TOTAL</t>
  </si>
  <si>
    <t>REKAPITULASI ANGGARAN — BOPD</t>
  </si>
  <si>
    <t>SMA Negeri 1 Cigalontang | Tahun Anggaran 2026 | Dana: BOPD</t>
  </si>
  <si>
    <t>Rencana BOPD (Rp)</t>
  </si>
  <si>
    <t>Realisasi BOPD (Rp)</t>
  </si>
  <si>
    <t>REKAPITULASI GABUNGAN ANGGARAN SEKOLAH</t>
  </si>
  <si>
    <t>SMA Negeri 1 Cigalontang | Tahun Anggaran 2026</t>
  </si>
  <si>
    <t>Ringkasan Dana</t>
  </si>
  <si>
    <t>Alokasi (Rp)</t>
  </si>
  <si>
    <t>Rencana (Rp)</t>
  </si>
  <si>
    <t>Realisasi (Rp)</t>
  </si>
  <si>
    <t>Sisa Rencana (Rp)</t>
  </si>
  <si>
    <t>BOSP</t>
  </si>
  <si>
    <t>GRAND TOTAL</t>
  </si>
  <si>
    <t>Rekapitulasi per Komponen Kegiatan</t>
  </si>
  <si>
    <t>Total Rencana (Rp)</t>
  </si>
  <si>
    <t>PEMERINTAH PROVINSI JAWA BARAT</t>
  </si>
  <si>
    <t>DINAS PENDIDIKAN</t>
  </si>
  <si>
    <t>SMA NEGERI 1 CIGALONTANG</t>
  </si>
  <si>
    <t>Alamat: Jl. Cigalontang, Kec. Cigalontang, Kab. Tasikmalaya, Jawa Barat</t>
  </si>
  <si>
    <t>LAPORAN RENCANA KEGIATAN DAN ANGGARAN SEKOLAH (RKAS)</t>
  </si>
  <si>
    <t>Tahun Anggaran 2026</t>
  </si>
  <si>
    <t>I. RINGKASAN ALOKASI DAN RENCANA PENGGUNAAN DANA</t>
  </si>
  <si>
    <t>Sisa (Rp)</t>
  </si>
  <si>
    <t>II. RINCIAN RENCANA PER KOMPONEN KEGIATAN</t>
  </si>
  <si>
    <t>Komponen Kegiatan</t>
  </si>
  <si>
    <t>Rencana BOSP</t>
  </si>
  <si>
    <t>Rencana BOPD</t>
  </si>
  <si>
    <t>Total Rencana</t>
  </si>
  <si>
    <t>% dari Total</t>
  </si>
  <si>
    <t>100.0%</t>
  </si>
  <si>
    <t>Bendahara BOSP / BOPD,</t>
  </si>
  <si>
    <t>Cigalontang, 17 April 2026</t>
  </si>
  <si>
    <t>Kepala Sekolah,</t>
  </si>
  <si>
    <t>(.....................................)</t>
  </si>
  <si>
    <t>NIP. .............................</t>
  </si>
  <si>
    <t>PETUNJUK PENGGUNAAN APLIKASI RANCANGAN ANGGARAN ARKAS v2</t>
  </si>
  <si>
    <t>⚙️ 1. PENGATURAN</t>
  </si>
  <si>
    <t>•</t>
  </si>
  <si>
    <t>Buka sheet "⚙ Pengaturan" — isi data sekolah, nama pejabat, dan paling penting: Total Alokasi BOSP (E15) dan BOPD (E16).</t>
  </si>
  <si>
    <t>Nilai alokasi ini digunakan secara otomatis oleh sheet Kontrol Batas BOSP untuk menghitung peringatan.</t>
  </si>
  <si>
    <t>📋 2. REFERENSI KODE</t>
  </si>
  <si>
    <t>"📋 Kode Kegiatan" → 13 komponen kegiatan ARKAS (Permendikbudristek No. 2/2022).</t>
  </si>
  <si>
    <t>"📂 Kode Rekening" → kode BAS nasional untuk belanja BOSP.</t>
  </si>
  <si>
    <t>"📂 Kode Rekening BOPD Jabar" → kode khusus Provinsi Jawa Barat. Konfirmasi ke operator SIPD Dinas Pendidikan sebelum entri final.</t>
  </si>
  <si>
    <t>✏️ 3. MENGISI RANCANGAN ANGGARAN (150 baris)</t>
  </si>
  <si>
    <t>Pilih Kode Kegiatan dari dropdown (kolom B) → isi Nama Kegiatan (kolom C) sesuai.</t>
  </si>
  <si>
    <t>Ketik Kode Rekening (kolom D) dari sheet referensi → isi Uraian Rekening (E) dan Uraian Rincian (F).</t>
  </si>
  <si>
    <t>Isi Volume, Satuan, Harga Satuan → kolom Jumlah terisi OTOMATIS.</t>
  </si>
  <si>
    <t>Pilih Sumber Dana: BOSP → isi Alokasi BOSP (L); BOPD → isi Alokasi BOPD (M).</t>
  </si>
  <si>
    <t>Kolom Realisasi (Q): diisi setelah kegiatan terlaksana. Kolom % Realisasi &amp; Sisa terisi OTOMATIS.</t>
  </si>
  <si>
    <t>Pilih Status Realisasi dari dropdown: Belum Direalisasi / Sebagian / Selesai.</t>
  </si>
  <si>
    <t>⚠️ 4. KONTROL BATAS BOSP (otomatis)</t>
  </si>
  <si>
    <t>Buka sheet "⚠️ Kontrol Batas BOSP" setelah mengisi Rancangan Anggaran.</t>
  </si>
  <si>
    <t>✅ Hijau "Aman/Terpenuhi" = alokasi sesuai regulasi.</t>
  </si>
  <si>
    <t>⛔ Merah "MELEBIHI BATAS" = Honor (Kode 10) melebihi 50% total BOSP — harus dikoreksi.</t>
  </si>
  <si>
    <t>⚠️ Jingga "DI BAWAH BATAS" = komponen penting (Buku/Pembelajaran) di bawah minimum yang disarankan.</t>
  </si>
  <si>
    <t>Pastikan tidak ada item di tabel LARANGAN yang dianggarkan dari BOSP.</t>
  </si>
  <si>
    <t>📊 5. REKAP DAN LAPORAN</t>
  </si>
  <si>
    <t>"📊 Rekap BOSP" dan "📊 Rekap BOPD" → rekap per komponen, otomatis dari Rancangan.</t>
  </si>
  <si>
    <t>"📈 Rekap Gabungan" → perbandingan BOSP + BOPD, termasuk persentase realisasi.</t>
  </si>
  <si>
    <t>"🖨️ Laporan KS" → siap cetak ke Kepala Sekolah. Cetak via File → Print → pilih sheet ini.</t>
  </si>
  <si>
    <t>💾 6. TIPS UMUM</t>
  </si>
  <si>
    <t>Simpan rutin (Ctrl+S). Untuk backup, simpan salinan dengan nama: ARKAS_YYYY_revisi_Bulan.xlsx.</t>
  </si>
  <si>
    <t>Jangan mengubah nama sheet — formula antar sheet bergantung nama tersebut.</t>
  </si>
  <si>
    <t>Jumlah baris dapat ditambah dengan mengedit konstanta JUMLAH_BARIS di buat-arkas.js dan jalankan ulang.</t>
  </si>
  <si>
    <t>File ini hanya alat bantu PERANCANGAN. Entri final tetap di aplikasi ARKAS resmi (arkas.kemdikbud.go.id).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</si>
</sst>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p &quot;#,##0"/>
    <numFmt numFmtId="165" formatCode="DD MMMM YYYY"/>
    <numFmt numFmtId="166" formatCode="0.0%"/>
  </numFmts>
  <fonts count="3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404040"/>
      <sz val="12"/>
      <name val="Calibri"/>
    </font>
    <font>
      <b/>
      <color rgb="FF1F4E79"/>
      <sz val="11"/>
      <name val="Calibri"/>
    </font>
    <font>
      <sz val="11"/>
      <name val="Calibri"/>
    </font>
    <font>
      <i/>
      <color rgb="FF7F6000"/>
      <sz val="10"/>
      <name val="Calibri"/>
    </font>
    <font>
      <b/>
      <color rgb="FFFFFFFF"/>
      <sz val="13"/>
      <name val="Calibri"/>
    </font>
    <font>
      <i/>
      <color rgb="FF1F4E79"/>
      <sz val="10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b/>
      <color rgb="FF1F4E79"/>
      <sz val="10"/>
      <name val="Calibri"/>
    </font>
    <font>
      <color rgb="FF000000"/>
      <sz val="10"/>
      <name val="Calibri"/>
    </font>
    <font>
      <i/>
      <color rgb="FF7B2C2C"/>
      <sz val="10"/>
      <name val="Calibri"/>
    </font>
    <font>
      <b/>
      <color rgb="FF7B2C2C"/>
      <sz val="10"/>
      <name val="Calibri"/>
    </font>
    <font>
      <i/>
      <color rgb="FF375623"/>
      <sz val="10"/>
      <name val="Calibri"/>
    </font>
    <font>
      <i/>
      <color rgb="FF7F6000"/>
      <sz val="9"/>
      <name val="Calibri"/>
    </font>
    <font>
      <b/>
      <color rgb="FF375623"/>
      <sz val="10"/>
      <name val="Calibri"/>
    </font>
    <font>
      <b/>
      <color rgb="FF1F4E79"/>
      <sz val="12"/>
      <name val="Calibri"/>
    </font>
    <font>
      <i/>
      <color rgb="FF404040"/>
      <sz val="10"/>
      <name val="Calibri"/>
    </font>
    <font>
      <sz val="10"/>
      <name val="Calibri"/>
    </font>
    <font>
      <b/>
      <sz val="11"/>
      <name val="Calibri"/>
    </font>
    <font>
      <i/>
      <color rgb="FFED7D31"/>
      <sz val="10"/>
      <name val="Calibri"/>
    </font>
    <font>
      <b/>
      <sz val="10"/>
      <name val="Calibri"/>
    </font>
    <font>
      <b/>
      <color rgb="FFFFFFFF"/>
      <sz val="12"/>
      <name val="Calibri"/>
    </font>
    <font>
      <b/>
      <color rgb="FFC00000"/>
      <sz val="10"/>
      <name val="Calibri"/>
    </font>
    <font>
      <i/>
      <sz val="9"/>
      <name val="Calibri"/>
    </font>
    <font>
      <color rgb="FFC00000"/>
      <sz val="10"/>
      <name val="Calibri"/>
    </font>
    <font>
      <i/>
      <color rgb="1F4E79"/>
      <sz val="10"/>
      <name val="Calibri"/>
    </font>
    <font>
      <b/>
      <color rgb="1F4E79"/>
      <sz val="10"/>
      <name val="Calibri"/>
    </font>
    <font>
      <i/>
      <color rgb="375623"/>
      <sz val="10"/>
      <name val="Calibri"/>
    </font>
    <font>
      <b/>
      <color rgb="375623"/>
      <sz val="10"/>
      <name val="Calibri"/>
    </font>
    <font>
      <i/>
      <color rgb="FF7030A0"/>
      <sz val="10"/>
      <name val="Calibri"/>
    </font>
    <font>
      <b/>
      <color rgb="FF7030A0"/>
      <sz val="11"/>
      <name val="Calibri"/>
    </font>
    <font>
      <b/>
      <color rgb="FF7030A0"/>
      <sz val="10"/>
      <name val="Calibri"/>
    </font>
    <font>
      <b/>
      <sz val="12"/>
      <name val="Calibri"/>
    </font>
    <font>
      <b/>
      <sz val="14"/>
      <name val="Calibri"/>
    </font>
    <font>
      <b/>
      <u/>
      <sz val="13"/>
      <name val="Calibri"/>
    </font>
    <font>
      <b/>
      <u/>
      <sz val="11"/>
      <name val="Calibri"/>
    </font>
    <font>
      <b/>
      <color rgb="FF1F4E79"/>
      <sz val="11"/>
    </font>
  </fonts>
  <fills count="2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5F9FF"/>
      </patternFill>
    </fill>
    <fill>
      <patternFill patternType="solid">
        <fgColor rgb="FF7B2C2C"/>
      </patternFill>
    </fill>
    <fill>
      <patternFill patternType="solid">
        <fgColor rgb="FFFCE4D6"/>
      </patternFill>
    </fill>
    <fill>
      <patternFill patternType="solid">
        <fgColor rgb="FFFFE0CC"/>
      </patternFill>
    </fill>
    <fill>
      <patternFill patternType="solid">
        <fgColor rgb="FFFFF5F5"/>
      </patternFill>
    </fill>
    <fill>
      <patternFill patternType="solid">
        <fgColor rgb="FF375623"/>
      </patternFill>
    </fill>
    <fill>
      <patternFill patternType="solid">
        <fgColor rgb="FFE2EFD9"/>
      </patternFill>
    </fill>
    <fill>
      <patternFill patternType="solid">
        <fgColor rgb="FFD6E4D0"/>
      </patternFill>
    </fill>
    <fill>
      <patternFill patternType="solid">
        <fgColor rgb="FFFFFCE7"/>
      </patternFill>
    </fill>
    <fill>
      <patternFill patternType="solid">
        <fgColor rgb="FFED7D31"/>
      </patternFill>
    </fill>
    <fill>
      <patternFill patternType="solid">
        <fgColor rgb="FFFFF5EE"/>
      </patternFill>
    </fill>
    <fill>
      <patternFill patternType="solid">
        <fgColor rgb="FFC00000"/>
      </patternFill>
    </fill>
    <fill>
      <patternFill patternType="solid">
        <fgColor rgb="FFFFF0F0"/>
      </patternFill>
    </fill>
    <fill>
      <patternFill patternType="solid">
        <fgColor rgb="1F4E79"/>
      </patternFill>
    </fill>
    <fill>
      <patternFill patternType="solid">
        <fgColor rgb="375623"/>
      </patternFill>
    </fill>
    <fill>
      <patternFill patternType="solid">
        <fgColor rgb="FF7030A0"/>
      </patternFill>
    </fill>
    <fill>
      <patternFill patternType="solid">
        <fgColor rgb="FFE8D5F5"/>
      </patternFill>
    </fill>
    <fill>
      <patternFill patternType="solid">
        <fgColor rgb="FFEDE7F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hair"/>
      <diagonal/>
    </border>
    <border>
      <left/>
      <right/>
      <top/>
      <bottom style="double"/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64" fontId="0" fillId="0" borderId="0" xfId="0" applyNumberFormat="1"/>
    <xf numFmtId="14" fontId="4" fillId="5" borderId="1" xfId="0" applyNumberFormat="1" applyFont="1" applyFill="1" applyBorder="1" applyAlignment="1">
      <alignment horizontal="left" vertical="center"/>
    </xf>
    <xf numFmtId="165" fontId="0" fillId="0" borderId="0" xfId="0" applyNumberFormat="1"/>
    <xf numFmtId="0" fontId="5" fillId="6" borderId="0" xfId="0" applyFont="1" applyFill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vertical="center" wrapText="1"/>
    </xf>
    <xf numFmtId="0" fontId="11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3" fontId="19" fillId="5" borderId="1" xfId="0" applyNumberFormat="1" applyFont="1" applyFill="1" applyBorder="1" applyAlignment="1">
      <alignment horizontal="right" vertical="center"/>
    </xf>
    <xf numFmtId="3" fontId="19" fillId="17" borderId="1" xfId="0" applyNumberFormat="1" applyFont="1" applyFill="1" applyBorder="1" applyAlignment="1">
      <alignment horizontal="right" vertical="center"/>
    </xf>
    <xf numFmtId="3" fontId="19" fillId="15" borderId="1" xfId="0" applyNumberFormat="1" applyFont="1" applyFill="1" applyBorder="1" applyAlignment="1">
      <alignment horizontal="right" vertical="center"/>
    </xf>
    <xf numFmtId="166" fontId="19" fillId="15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0" fillId="9" borderId="1" xfId="0" applyFont="1" applyFill="1" applyBorder="1" applyAlignment="1">
      <alignment horizontal="center" vertical="center"/>
    </xf>
    <xf numFmtId="3" fontId="19" fillId="9" borderId="1" xfId="0" applyNumberFormat="1" applyFont="1" applyFill="1" applyBorder="1" applyAlignment="1">
      <alignment horizontal="right" vertical="center"/>
    </xf>
    <xf numFmtId="3" fontId="20" fillId="6" borderId="1" xfId="0" applyNumberFormat="1" applyFont="1" applyFill="1" applyBorder="1" applyAlignment="1">
      <alignment horizontal="right" vertical="center"/>
    </xf>
    <xf numFmtId="0" fontId="6" fillId="18" borderId="1" xfId="0" applyFont="1" applyFill="1" applyBorder="1" applyAlignment="1">
      <alignment horizontal="center" vertical="center" wrapText="1"/>
    </xf>
    <xf numFmtId="0" fontId="21" fillId="11" borderId="0" xfId="0" applyFont="1" applyFill="1" applyAlignment="1">
      <alignment horizontal="center" vertical="center"/>
    </xf>
    <xf numFmtId="0" fontId="8" fillId="18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left" vertical="center"/>
    </xf>
    <xf numFmtId="164" fontId="22" fillId="5" borderId="1" xfId="0" applyNumberFormat="1" applyFont="1" applyFill="1" applyBorder="1" applyAlignment="1">
      <alignment horizontal="right" vertical="center"/>
    </xf>
    <xf numFmtId="0" fontId="23" fillId="18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center" vertical="center"/>
    </xf>
    <xf numFmtId="9" fontId="9" fillId="5" borderId="1" xfId="0" applyNumberFormat="1" applyFont="1" applyFill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left" vertical="center" wrapText="1"/>
    </xf>
    <xf numFmtId="0" fontId="16" fillId="19" borderId="1" xfId="0" applyFont="1" applyFill="1" applyBorder="1" applyAlignment="1">
      <alignment horizontal="center" vertical="center"/>
    </xf>
    <xf numFmtId="9" fontId="9" fillId="19" borderId="1" xfId="0" applyNumberFormat="1" applyFont="1" applyFill="1" applyBorder="1" applyAlignment="1">
      <alignment horizontal="center" vertical="center"/>
    </xf>
    <xf numFmtId="3" fontId="19" fillId="19" borderId="1" xfId="0" applyNumberFormat="1" applyFont="1" applyFill="1" applyBorder="1" applyAlignment="1">
      <alignment horizontal="right" vertical="center"/>
    </xf>
    <xf numFmtId="166" fontId="19" fillId="19" borderId="1" xfId="0" applyNumberFormat="1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26" fillId="21" borderId="2" xfId="0" applyFont="1" applyFill="1" applyBorder="1" applyAlignment="1">
      <alignment horizontal="left" vertical="center"/>
    </xf>
    <xf numFmtId="0" fontId="6" fillId="22" borderId="1" xfId="0" applyFont="1" applyFill="1" applyBorder="1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0" fontId="8" fillId="22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 wrapText="1"/>
    </xf>
    <xf numFmtId="3" fontId="19" fillId="4" borderId="1" xfId="0" applyNumberFormat="1" applyFont="1" applyFill="1" applyBorder="1" applyAlignment="1">
      <alignment horizontal="right" vertical="center"/>
    </xf>
    <xf numFmtId="166" fontId="19" fillId="4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 wrapText="1"/>
    </xf>
    <xf numFmtId="0" fontId="29" fillId="15" borderId="0" xfId="0" applyFont="1" applyFill="1" applyAlignment="1">
      <alignment horizontal="center" vertical="center"/>
    </xf>
    <xf numFmtId="0" fontId="8" fillId="23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 wrapText="1"/>
    </xf>
    <xf numFmtId="0" fontId="31" fillId="25" borderId="0" xfId="0" applyFont="1" applyFill="1" applyAlignment="1">
      <alignment horizontal="center" vertical="center"/>
    </xf>
    <xf numFmtId="0" fontId="8" fillId="24" borderId="1" xfId="0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/>
    </xf>
    <xf numFmtId="0" fontId="23" fillId="24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/>
    </xf>
    <xf numFmtId="3" fontId="22" fillId="5" borderId="1" xfId="0" applyNumberFormat="1" applyFont="1" applyFill="1" applyBorder="1" applyAlignment="1">
      <alignment horizontal="right" vertical="center"/>
    </xf>
    <xf numFmtId="0" fontId="11" fillId="26" borderId="1" xfId="0" applyFont="1" applyFill="1" applyBorder="1" applyAlignment="1">
      <alignment horizontal="center" vertical="center"/>
    </xf>
    <xf numFmtId="0" fontId="33" fillId="26" borderId="1" xfId="0" applyFont="1" applyFill="1" applyBorder="1" applyAlignment="1">
      <alignment horizontal="center" vertical="center"/>
    </xf>
    <xf numFmtId="0" fontId="11" fillId="26" borderId="1" xfId="0" applyFont="1" applyFill="1" applyBorder="1" applyAlignment="1">
      <alignment vertical="center" wrapText="1"/>
    </xf>
    <xf numFmtId="3" fontId="19" fillId="26" borderId="1" xfId="0" applyNumberFormat="1" applyFont="1" applyFill="1" applyBorder="1" applyAlignment="1">
      <alignment horizontal="right" vertical="center"/>
    </xf>
    <xf numFmtId="3" fontId="22" fillId="26" borderId="1" xfId="0" applyNumberFormat="1" applyFont="1" applyFill="1" applyBorder="1" applyAlignment="1">
      <alignment horizontal="right" vertical="center"/>
    </xf>
    <xf numFmtId="166" fontId="19" fillId="26" borderId="1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3" xfId="0" applyBorder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9" fillId="5" borderId="1" xfId="0" applyFont="1" applyFill="1" applyBorder="1" applyAlignment="1">
      <alignment vertical="center" wrapText="1"/>
    </xf>
    <xf numFmtId="3" fontId="22" fillId="9" borderId="1" xfId="0" applyNumberFormat="1" applyFont="1" applyFill="1" applyBorder="1" applyAlignment="1">
      <alignment horizontal="right" vertical="center"/>
    </xf>
    <xf numFmtId="166" fontId="19" fillId="9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left" vertical="center"/>
    </xf>
    <xf numFmtId="0" fontId="38" fillId="0" borderId="0" xfId="0" applyFont="1" applyAlignment="1">
      <alignment horizontal="center" vertical="top"/>
    </xf>
    <xf numFmtId="0" fontId="1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04040"/>
  </sheetPr>
  <dimension ref="B2:G1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" customWidth="1"/>
    <col min="3" max="3" width="25" customWidth="1"/>
    <col min="4" max="4" width="15" customWidth="1"/>
    <col min="5" max="7" width="20" customWidth="1"/>
  </cols>
  <sheetData>
    <row r="2" ht="35" customHeight="1" spans="2:7" x14ac:dyDescent="0.25">
      <c r="B2" s="1" t="s">
        <v>0</v>
      </c>
      <c r="C2"/>
      <c r="D2"/>
      <c r="E2"/>
      <c r="F2"/>
      <c r="G2"/>
    </row>
    <row r="3" ht="25" customHeight="1" spans="2:7" x14ac:dyDescent="0.25">
      <c r="B3" s="2" t="s">
        <v>1</v>
      </c>
      <c r="C3"/>
      <c r="D3"/>
      <c r="E3"/>
      <c r="F3"/>
      <c r="G3"/>
    </row>
    <row r="5" ht="22" customHeight="1" spans="2:7" x14ac:dyDescent="0.25">
      <c r="B5" s="3" t="s">
        <v>2</v>
      </c>
      <c r="C5"/>
      <c r="D5"/>
      <c r="E5" s="4" t="s">
        <v>3</v>
      </c>
      <c r="F5"/>
      <c r="G5"/>
    </row>
    <row r="6" ht="22" customHeight="1" spans="2:7" x14ac:dyDescent="0.25">
      <c r="B6" s="3" t="s">
        <v>4</v>
      </c>
      <c r="C6"/>
      <c r="D6"/>
      <c r="E6" s="4" t="s">
        <v>5</v>
      </c>
      <c r="F6"/>
      <c r="G6"/>
    </row>
    <row r="7" ht="22" customHeight="1" spans="2:7" x14ac:dyDescent="0.25">
      <c r="B7" s="3" t="s">
        <v>6</v>
      </c>
      <c r="C7"/>
      <c r="D7"/>
      <c r="E7" s="4" t="s">
        <v>7</v>
      </c>
      <c r="F7"/>
      <c r="G7"/>
    </row>
    <row r="8" ht="22" customHeight="1" spans="2:7" x14ac:dyDescent="0.25">
      <c r="B8" s="3" t="s">
        <v>8</v>
      </c>
      <c r="C8"/>
      <c r="D8"/>
      <c r="E8" s="4" t="s">
        <v>9</v>
      </c>
      <c r="F8"/>
      <c r="G8"/>
    </row>
    <row r="9" ht="22" customHeight="1" spans="2:7" x14ac:dyDescent="0.25">
      <c r="B9" s="3" t="s">
        <v>10</v>
      </c>
      <c r="C9"/>
      <c r="D9"/>
      <c r="E9" s="4" t="s">
        <v>11</v>
      </c>
      <c r="F9"/>
      <c r="G9"/>
    </row>
    <row r="10" ht="22" customHeight="1" spans="2:7" x14ac:dyDescent="0.25">
      <c r="B10" s="3" t="s">
        <v>12</v>
      </c>
      <c r="C10"/>
      <c r="D10"/>
      <c r="E10" s="4">
        <v>2026</v>
      </c>
      <c r="F10"/>
      <c r="G10"/>
    </row>
    <row r="11" ht="22" customHeight="1" spans="2:7" x14ac:dyDescent="0.25">
      <c r="B11" s="3" t="s">
        <v>13</v>
      </c>
      <c r="C11"/>
      <c r="D11"/>
      <c r="E11" s="4" t="s">
        <v>14</v>
      </c>
      <c r="F11"/>
      <c r="G11"/>
    </row>
    <row r="12" ht="22" customHeight="1" spans="2:7" x14ac:dyDescent="0.25">
      <c r="B12" s="3" t="s">
        <v>15</v>
      </c>
      <c r="C12"/>
      <c r="D12"/>
      <c r="E12" s="4" t="s">
        <v>14</v>
      </c>
      <c r="F12"/>
      <c r="G12"/>
    </row>
    <row r="13" ht="22" customHeight="1" spans="2:7" x14ac:dyDescent="0.25">
      <c r="B13" s="3" t="s">
        <v>16</v>
      </c>
      <c r="C13"/>
      <c r="D13"/>
      <c r="E13" s="4" t="s">
        <v>14</v>
      </c>
      <c r="F13"/>
      <c r="G13"/>
    </row>
    <row r="14" ht="22" customHeight="1" spans="2:7" x14ac:dyDescent="0.25">
      <c r="B14" s="3" t="s">
        <v>17</v>
      </c>
      <c r="C14"/>
      <c r="D14"/>
      <c r="E14" s="4">
        <v>0</v>
      </c>
      <c r="F14"/>
      <c r="G14"/>
    </row>
    <row r="15" ht="22" customHeight="1" spans="2:7" x14ac:dyDescent="0.25">
      <c r="B15" s="3" t="s">
        <v>18</v>
      </c>
      <c r="C15"/>
      <c r="D15"/>
      <c r="E15" s="4">
        <v>0</v>
      </c>
      <c r="F15" s="5"/>
      <c r="G15" s="5"/>
    </row>
    <row r="16" ht="22" customHeight="1" spans="2:7" x14ac:dyDescent="0.25">
      <c r="B16" s="3" t="s">
        <v>19</v>
      </c>
      <c r="C16"/>
      <c r="D16"/>
      <c r="E16" s="4">
        <v>0</v>
      </c>
      <c r="F16" s="5"/>
      <c r="G16" s="5"/>
    </row>
    <row r="17" ht="22" customHeight="1" spans="2:7" x14ac:dyDescent="0.25">
      <c r="B17" s="3" t="s">
        <v>20</v>
      </c>
      <c r="C17"/>
      <c r="D17"/>
      <c r="E17" s="6">
        <v>46129.237705555555</v>
      </c>
      <c r="F17" s="7"/>
      <c r="G17" s="7"/>
    </row>
    <row r="19" ht="30" customHeight="1" spans="2:7" x14ac:dyDescent="0.25">
      <c r="B19" s="8" t="s">
        <v>21</v>
      </c>
      <c r="C19"/>
      <c r="D19"/>
      <c r="E19"/>
      <c r="F19"/>
      <c r="G19"/>
    </row>
  </sheetData>
  <mergeCells count="29">
    <mergeCell ref="B2:G2"/>
    <mergeCell ref="B3:G3"/>
    <mergeCell ref="B5:D5"/>
    <mergeCell ref="E5:G5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D11"/>
    <mergeCell ref="E11:G11"/>
    <mergeCell ref="B12:D12"/>
    <mergeCell ref="E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7:D17"/>
    <mergeCell ref="E17:G17"/>
    <mergeCell ref="B19: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D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5" customWidth="1"/>
    <col min="3" max="3" width="60" customWidth="1"/>
    <col min="4" max="4" width="20" customWidth="1"/>
  </cols>
  <sheetData>
    <row r="1" ht="30" customHeight="1" spans="1:4" x14ac:dyDescent="0.25">
      <c r="A1" s="9" t="s">
        <v>22</v>
      </c>
      <c r="B1"/>
      <c r="C1"/>
      <c r="D1"/>
    </row>
    <row r="2" ht="20" customHeight="1" spans="1:4" x14ac:dyDescent="0.25">
      <c r="A2" s="10" t="s">
        <v>23</v>
      </c>
      <c r="B2"/>
      <c r="C2"/>
      <c r="D2"/>
    </row>
    <row r="4" ht="25" customHeight="1" spans="1:4" x14ac:dyDescent="0.25">
      <c r="A4" s="11" t="s">
        <v>24</v>
      </c>
      <c r="B4" s="11" t="s">
        <v>25</v>
      </c>
      <c r="C4" s="11" t="s">
        <v>26</v>
      </c>
      <c r="D4" s="11" t="s">
        <v>27</v>
      </c>
    </row>
    <row r="5" ht="22" customHeight="1" spans="1:4" x14ac:dyDescent="0.25">
      <c r="A5" s="12" t="s">
        <v>28</v>
      </c>
      <c r="B5" s="13" t="s">
        <v>29</v>
      </c>
      <c r="C5" s="14" t="s">
        <v>30</v>
      </c>
      <c r="D5" s="15" t="s">
        <v>31</v>
      </c>
    </row>
    <row r="6" ht="22" customHeight="1" spans="1:4" x14ac:dyDescent="0.25">
      <c r="A6" s="16" t="s">
        <v>32</v>
      </c>
      <c r="B6" s="17" t="s">
        <v>33</v>
      </c>
      <c r="C6" s="18" t="s">
        <v>34</v>
      </c>
      <c r="D6" s="19" t="s">
        <v>31</v>
      </c>
    </row>
    <row r="7" ht="22" customHeight="1" spans="1:4" x14ac:dyDescent="0.25">
      <c r="A7" s="12" t="s">
        <v>35</v>
      </c>
      <c r="B7" s="13" t="s">
        <v>36</v>
      </c>
      <c r="C7" s="14" t="s">
        <v>37</v>
      </c>
      <c r="D7" s="15" t="s">
        <v>31</v>
      </c>
    </row>
    <row r="8" ht="22" customHeight="1" spans="1:4" x14ac:dyDescent="0.25">
      <c r="A8" s="16" t="s">
        <v>38</v>
      </c>
      <c r="B8" s="17" t="s">
        <v>39</v>
      </c>
      <c r="C8" s="18" t="s">
        <v>40</v>
      </c>
      <c r="D8" s="19" t="s">
        <v>31</v>
      </c>
    </row>
    <row r="9" ht="22" customHeight="1" spans="1:4" x14ac:dyDescent="0.25">
      <c r="A9" s="12" t="s">
        <v>41</v>
      </c>
      <c r="B9" s="13" t="s">
        <v>42</v>
      </c>
      <c r="C9" s="14" t="s">
        <v>43</v>
      </c>
      <c r="D9" s="15" t="s">
        <v>31</v>
      </c>
    </row>
    <row r="10" ht="22" customHeight="1" spans="1:4" x14ac:dyDescent="0.25">
      <c r="A10" s="16" t="s">
        <v>44</v>
      </c>
      <c r="B10" s="17" t="s">
        <v>45</v>
      </c>
      <c r="C10" s="18" t="s">
        <v>46</v>
      </c>
      <c r="D10" s="19" t="s">
        <v>31</v>
      </c>
    </row>
    <row r="11" ht="22" customHeight="1" spans="1:4" x14ac:dyDescent="0.25">
      <c r="A11" s="12" t="s">
        <v>47</v>
      </c>
      <c r="B11" s="13" t="s">
        <v>48</v>
      </c>
      <c r="C11" s="14" t="s">
        <v>49</v>
      </c>
      <c r="D11" s="15" t="s">
        <v>31</v>
      </c>
    </row>
    <row r="12" ht="22" customHeight="1" spans="1:4" x14ac:dyDescent="0.25">
      <c r="A12" s="16" t="s">
        <v>50</v>
      </c>
      <c r="B12" s="17" t="s">
        <v>51</v>
      </c>
      <c r="C12" s="18" t="s">
        <v>52</v>
      </c>
      <c r="D12" s="19" t="s">
        <v>31</v>
      </c>
    </row>
    <row r="13" ht="22" customHeight="1" spans="1:4" x14ac:dyDescent="0.25">
      <c r="A13" s="12" t="s">
        <v>53</v>
      </c>
      <c r="B13" s="13" t="s">
        <v>54</v>
      </c>
      <c r="C13" s="14" t="s">
        <v>55</v>
      </c>
      <c r="D13" s="15" t="s">
        <v>31</v>
      </c>
    </row>
    <row r="14" ht="22" customHeight="1" spans="1:4" x14ac:dyDescent="0.25">
      <c r="A14" s="16" t="s">
        <v>56</v>
      </c>
      <c r="B14" s="17" t="s">
        <v>57</v>
      </c>
      <c r="C14" s="18" t="s">
        <v>58</v>
      </c>
      <c r="D14" s="19" t="s">
        <v>31</v>
      </c>
    </row>
    <row r="15" ht="22" customHeight="1" spans="1:4" x14ac:dyDescent="0.25">
      <c r="A15" s="12" t="s">
        <v>59</v>
      </c>
      <c r="B15" s="13" t="s">
        <v>60</v>
      </c>
      <c r="C15" s="14" t="s">
        <v>61</v>
      </c>
      <c r="D15" s="15" t="s">
        <v>31</v>
      </c>
    </row>
    <row r="16" ht="22" customHeight="1" spans="1:4" x14ac:dyDescent="0.25">
      <c r="A16" s="16" t="s">
        <v>62</v>
      </c>
      <c r="B16" s="17" t="s">
        <v>63</v>
      </c>
      <c r="C16" s="18" t="s">
        <v>64</v>
      </c>
      <c r="D16" s="19" t="s">
        <v>31</v>
      </c>
    </row>
    <row r="17" ht="22" customHeight="1" spans="1:4" x14ac:dyDescent="0.25">
      <c r="A17" s="12" t="s">
        <v>65</v>
      </c>
      <c r="B17" s="13" t="s">
        <v>66</v>
      </c>
      <c r="C17" s="14" t="s">
        <v>67</v>
      </c>
      <c r="D17" s="15" t="s">
        <v>31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2C2C"/>
  </sheetPr>
  <dimension ref="A1:D6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5" customWidth="1"/>
    <col min="3" max="3" width="25" customWidth="1"/>
    <col min="4" max="4" width="30" customWidth="1"/>
  </cols>
  <sheetData>
    <row r="1" ht="30" customHeight="1" spans="1:4" x14ac:dyDescent="0.25">
      <c r="A1" s="20" t="s">
        <v>68</v>
      </c>
      <c r="B1"/>
      <c r="C1"/>
      <c r="D1"/>
    </row>
    <row r="2" spans="1:4" x14ac:dyDescent="0.25">
      <c r="A2" s="21" t="s">
        <v>69</v>
      </c>
      <c r="B2"/>
      <c r="C2"/>
      <c r="D2"/>
    </row>
    <row r="4" ht="25" customHeight="1" spans="1:4" x14ac:dyDescent="0.25">
      <c r="A4" s="22" t="s">
        <v>70</v>
      </c>
      <c r="B4" s="22" t="s">
        <v>71</v>
      </c>
      <c r="C4" s="22" t="s">
        <v>72</v>
      </c>
      <c r="D4" s="22" t="s">
        <v>73</v>
      </c>
    </row>
    <row r="5" ht="18" customHeight="1" spans="1:4" x14ac:dyDescent="0.25">
      <c r="A5" s="23" t="s">
        <v>74</v>
      </c>
      <c r="B5"/>
      <c r="C5"/>
      <c r="D5"/>
    </row>
    <row r="6" ht="20" customHeight="1" spans="1:4" x14ac:dyDescent="0.25">
      <c r="A6" s="24" t="s">
        <v>75</v>
      </c>
      <c r="B6" s="14" t="s">
        <v>76</v>
      </c>
      <c r="C6" s="15" t="s">
        <v>77</v>
      </c>
      <c r="D6" s="14"/>
    </row>
    <row r="7" ht="20" customHeight="1" spans="1:4" x14ac:dyDescent="0.25">
      <c r="A7" s="25" t="s">
        <v>78</v>
      </c>
      <c r="B7" s="26" t="s">
        <v>79</v>
      </c>
      <c r="C7" s="27" t="s">
        <v>77</v>
      </c>
      <c r="D7" s="26"/>
    </row>
    <row r="8" ht="20" customHeight="1" spans="1:4" x14ac:dyDescent="0.25">
      <c r="A8" s="24" t="s">
        <v>80</v>
      </c>
      <c r="B8" s="14" t="s">
        <v>81</v>
      </c>
      <c r="C8" s="15" t="s">
        <v>77</v>
      </c>
      <c r="D8" s="14"/>
    </row>
    <row r="9" ht="20" customHeight="1" spans="1:4" x14ac:dyDescent="0.25">
      <c r="A9" s="25" t="s">
        <v>82</v>
      </c>
      <c r="B9" s="26" t="s">
        <v>83</v>
      </c>
      <c r="C9" s="27" t="s">
        <v>77</v>
      </c>
      <c r="D9" s="26"/>
    </row>
    <row r="10" ht="20" customHeight="1" spans="1:4" x14ac:dyDescent="0.25">
      <c r="A10" s="24" t="s">
        <v>84</v>
      </c>
      <c r="B10" s="14" t="s">
        <v>85</v>
      </c>
      <c r="C10" s="15" t="s">
        <v>77</v>
      </c>
      <c r="D10" s="14"/>
    </row>
    <row r="11" ht="20" customHeight="1" spans="1:4" x14ac:dyDescent="0.25">
      <c r="A11" s="25" t="s">
        <v>86</v>
      </c>
      <c r="B11" s="26" t="s">
        <v>87</v>
      </c>
      <c r="C11" s="27" t="s">
        <v>77</v>
      </c>
      <c r="D11" s="26"/>
    </row>
    <row r="12" ht="18" customHeight="1" spans="1:4" x14ac:dyDescent="0.25">
      <c r="A12" s="23" t="s">
        <v>88</v>
      </c>
      <c r="B12"/>
      <c r="C12"/>
      <c r="D12"/>
    </row>
    <row r="13" ht="20" customHeight="1" spans="1:4" x14ac:dyDescent="0.25">
      <c r="A13" s="25" t="s">
        <v>89</v>
      </c>
      <c r="B13" s="26" t="s">
        <v>90</v>
      </c>
      <c r="C13" s="27" t="s">
        <v>91</v>
      </c>
      <c r="D13" s="26"/>
    </row>
    <row r="14" ht="20" customHeight="1" spans="1:4" x14ac:dyDescent="0.25">
      <c r="A14" s="24" t="s">
        <v>92</v>
      </c>
      <c r="B14" s="14" t="s">
        <v>93</v>
      </c>
      <c r="C14" s="15" t="s">
        <v>91</v>
      </c>
      <c r="D14" s="14"/>
    </row>
    <row r="15" ht="20" customHeight="1" spans="1:4" x14ac:dyDescent="0.25">
      <c r="A15" s="25" t="s">
        <v>94</v>
      </c>
      <c r="B15" s="26" t="s">
        <v>95</v>
      </c>
      <c r="C15" s="27" t="s">
        <v>91</v>
      </c>
      <c r="D15" s="26"/>
    </row>
    <row r="16" ht="20" customHeight="1" spans="1:4" x14ac:dyDescent="0.25">
      <c r="A16" s="24" t="s">
        <v>96</v>
      </c>
      <c r="B16" s="14" t="s">
        <v>97</v>
      </c>
      <c r="C16" s="15" t="s">
        <v>91</v>
      </c>
      <c r="D16" s="14"/>
    </row>
    <row r="17" ht="20" customHeight="1" spans="1:4" x14ac:dyDescent="0.25">
      <c r="A17" s="25" t="s">
        <v>98</v>
      </c>
      <c r="B17" s="26" t="s">
        <v>99</v>
      </c>
      <c r="C17" s="27" t="s">
        <v>91</v>
      </c>
      <c r="D17" s="26"/>
    </row>
    <row r="18" ht="18" customHeight="1" spans="1:4" x14ac:dyDescent="0.25">
      <c r="A18" s="23" t="s">
        <v>100</v>
      </c>
      <c r="B18"/>
      <c r="C18"/>
      <c r="D18"/>
    </row>
    <row r="19" ht="20" customHeight="1" spans="1:4" x14ac:dyDescent="0.25">
      <c r="A19" s="25" t="s">
        <v>101</v>
      </c>
      <c r="B19" s="26" t="s">
        <v>102</v>
      </c>
      <c r="C19" s="27" t="s">
        <v>103</v>
      </c>
      <c r="D19" s="26"/>
    </row>
    <row r="20" ht="20" customHeight="1" spans="1:4" x14ac:dyDescent="0.25">
      <c r="A20" s="24" t="s">
        <v>104</v>
      </c>
      <c r="B20" s="14" t="s">
        <v>105</v>
      </c>
      <c r="C20" s="15" t="s">
        <v>103</v>
      </c>
      <c r="D20" s="14"/>
    </row>
    <row r="21" ht="20" customHeight="1" spans="1:4" x14ac:dyDescent="0.25">
      <c r="A21" s="25" t="s">
        <v>106</v>
      </c>
      <c r="B21" s="26" t="s">
        <v>107</v>
      </c>
      <c r="C21" s="27" t="s">
        <v>103</v>
      </c>
      <c r="D21" s="26"/>
    </row>
    <row r="22" ht="20" customHeight="1" spans="1:4" x14ac:dyDescent="0.25">
      <c r="A22" s="24" t="s">
        <v>108</v>
      </c>
      <c r="B22" s="14" t="s">
        <v>109</v>
      </c>
      <c r="C22" s="15" t="s">
        <v>103</v>
      </c>
      <c r="D22" s="14"/>
    </row>
    <row r="23" ht="20" customHeight="1" spans="1:4" x14ac:dyDescent="0.25">
      <c r="A23" s="25" t="s">
        <v>110</v>
      </c>
      <c r="B23" s="26" t="s">
        <v>111</v>
      </c>
      <c r="C23" s="27" t="s">
        <v>103</v>
      </c>
      <c r="D23" s="26"/>
    </row>
    <row r="24" ht="20" customHeight="1" spans="1:4" x14ac:dyDescent="0.25">
      <c r="A24" s="24" t="s">
        <v>112</v>
      </c>
      <c r="B24" s="14" t="s">
        <v>113</v>
      </c>
      <c r="C24" s="15" t="s">
        <v>103</v>
      </c>
      <c r="D24" s="14"/>
    </row>
    <row r="25" ht="18" customHeight="1" spans="1:4" x14ac:dyDescent="0.25">
      <c r="A25" s="23" t="s">
        <v>114</v>
      </c>
      <c r="B25"/>
      <c r="C25"/>
      <c r="D25"/>
    </row>
    <row r="26" ht="20" customHeight="1" spans="1:4" x14ac:dyDescent="0.25">
      <c r="A26" s="24" t="s">
        <v>115</v>
      </c>
      <c r="B26" s="14" t="s">
        <v>116</v>
      </c>
      <c r="C26" s="15" t="s">
        <v>117</v>
      </c>
      <c r="D26" s="14"/>
    </row>
    <row r="27" ht="20" customHeight="1" spans="1:4" x14ac:dyDescent="0.25">
      <c r="A27" s="25" t="s">
        <v>118</v>
      </c>
      <c r="B27" s="26" t="s">
        <v>119</v>
      </c>
      <c r="C27" s="27" t="s">
        <v>117</v>
      </c>
      <c r="D27" s="26"/>
    </row>
    <row r="28" ht="18" customHeight="1" spans="1:4" x14ac:dyDescent="0.25">
      <c r="A28" s="23" t="s">
        <v>120</v>
      </c>
      <c r="B28"/>
      <c r="C28"/>
      <c r="D28"/>
    </row>
    <row r="29" ht="20" customHeight="1" spans="1:4" x14ac:dyDescent="0.25">
      <c r="A29" s="25" t="s">
        <v>121</v>
      </c>
      <c r="B29" s="26" t="s">
        <v>122</v>
      </c>
      <c r="C29" s="27" t="s">
        <v>123</v>
      </c>
      <c r="D29" s="26"/>
    </row>
    <row r="30" ht="20" customHeight="1" spans="1:4" x14ac:dyDescent="0.25">
      <c r="A30" s="24" t="s">
        <v>124</v>
      </c>
      <c r="B30" s="14" t="s">
        <v>125</v>
      </c>
      <c r="C30" s="15" t="s">
        <v>123</v>
      </c>
      <c r="D30" s="14"/>
    </row>
    <row r="31" ht="20" customHeight="1" spans="1:4" x14ac:dyDescent="0.25">
      <c r="A31" s="25" t="s">
        <v>126</v>
      </c>
      <c r="B31" s="26" t="s">
        <v>127</v>
      </c>
      <c r="C31" s="27" t="s">
        <v>123</v>
      </c>
      <c r="D31" s="26"/>
    </row>
    <row r="32" ht="18" customHeight="1" spans="1:4" x14ac:dyDescent="0.25">
      <c r="A32" s="23" t="s">
        <v>128</v>
      </c>
      <c r="B32"/>
      <c r="C32"/>
      <c r="D32"/>
    </row>
    <row r="33" ht="20" customHeight="1" spans="1:4" x14ac:dyDescent="0.25">
      <c r="A33" s="25" t="s">
        <v>129</v>
      </c>
      <c r="B33" s="26" t="s">
        <v>130</v>
      </c>
      <c r="C33" s="27" t="s">
        <v>131</v>
      </c>
      <c r="D33" s="26"/>
    </row>
    <row r="34" ht="20" customHeight="1" spans="1:4" x14ac:dyDescent="0.25">
      <c r="A34" s="24" t="s">
        <v>132</v>
      </c>
      <c r="B34" s="14" t="s">
        <v>133</v>
      </c>
      <c r="C34" s="15" t="s">
        <v>131</v>
      </c>
      <c r="D34" s="14"/>
    </row>
    <row r="35" ht="20" customHeight="1" spans="1:4" x14ac:dyDescent="0.25">
      <c r="A35" s="25" t="s">
        <v>134</v>
      </c>
      <c r="B35" s="26" t="s">
        <v>135</v>
      </c>
      <c r="C35" s="27" t="s">
        <v>131</v>
      </c>
      <c r="D35" s="26"/>
    </row>
    <row r="36" ht="18" customHeight="1" spans="1:4" x14ac:dyDescent="0.25">
      <c r="A36" s="23" t="s">
        <v>136</v>
      </c>
      <c r="B36"/>
      <c r="C36"/>
      <c r="D36"/>
    </row>
    <row r="37" ht="20" customHeight="1" spans="1:4" x14ac:dyDescent="0.25">
      <c r="A37" s="25" t="s">
        <v>137</v>
      </c>
      <c r="B37" s="26" t="s">
        <v>138</v>
      </c>
      <c r="C37" s="27" t="s">
        <v>139</v>
      </c>
      <c r="D37" s="26"/>
    </row>
    <row r="38" ht="20" customHeight="1" spans="1:4" x14ac:dyDescent="0.25">
      <c r="A38" s="24" t="s">
        <v>140</v>
      </c>
      <c r="B38" s="14" t="s">
        <v>141</v>
      </c>
      <c r="C38" s="15" t="s">
        <v>139</v>
      </c>
      <c r="D38" s="14"/>
    </row>
    <row r="39" ht="20" customHeight="1" spans="1:4" x14ac:dyDescent="0.25">
      <c r="A39" s="25" t="s">
        <v>142</v>
      </c>
      <c r="B39" s="26" t="s">
        <v>143</v>
      </c>
      <c r="C39" s="27" t="s">
        <v>139</v>
      </c>
      <c r="D39" s="26"/>
    </row>
    <row r="40" ht="18" customHeight="1" spans="1:4" x14ac:dyDescent="0.25">
      <c r="A40" s="23" t="s">
        <v>144</v>
      </c>
      <c r="B40"/>
      <c r="C40"/>
      <c r="D40"/>
    </row>
    <row r="41" ht="20" customHeight="1" spans="1:4" x14ac:dyDescent="0.25">
      <c r="A41" s="25" t="s">
        <v>145</v>
      </c>
      <c r="B41" s="26" t="s">
        <v>146</v>
      </c>
      <c r="C41" s="27" t="s">
        <v>147</v>
      </c>
      <c r="D41" s="26"/>
    </row>
    <row r="42" ht="20" customHeight="1" spans="1:4" x14ac:dyDescent="0.25">
      <c r="A42" s="24" t="s">
        <v>148</v>
      </c>
      <c r="B42" s="14" t="s">
        <v>149</v>
      </c>
      <c r="C42" s="15" t="s">
        <v>147</v>
      </c>
      <c r="D42" s="14"/>
    </row>
    <row r="43" ht="18" customHeight="1" spans="1:4" x14ac:dyDescent="0.25">
      <c r="A43" s="23" t="s">
        <v>150</v>
      </c>
      <c r="B43"/>
      <c r="C43"/>
      <c r="D43"/>
    </row>
    <row r="44" ht="20" customHeight="1" spans="1:4" x14ac:dyDescent="0.25">
      <c r="A44" s="24" t="s">
        <v>151</v>
      </c>
      <c r="B44" s="14" t="s">
        <v>152</v>
      </c>
      <c r="C44" s="15" t="s">
        <v>153</v>
      </c>
      <c r="D44" s="14"/>
    </row>
    <row r="45" ht="20" customHeight="1" spans="1:4" x14ac:dyDescent="0.25">
      <c r="A45" s="25" t="s">
        <v>154</v>
      </c>
      <c r="B45" s="26" t="s">
        <v>155</v>
      </c>
      <c r="C45" s="27" t="s">
        <v>153</v>
      </c>
      <c r="D45" s="26"/>
    </row>
    <row r="46" ht="18" customHeight="1" spans="1:4" x14ac:dyDescent="0.25">
      <c r="A46" s="23" t="s">
        <v>156</v>
      </c>
      <c r="B46"/>
      <c r="C46"/>
      <c r="D46"/>
    </row>
    <row r="47" ht="20" customHeight="1" spans="1:4" x14ac:dyDescent="0.25">
      <c r="A47" s="25" t="s">
        <v>157</v>
      </c>
      <c r="B47" s="26" t="s">
        <v>158</v>
      </c>
      <c r="C47" s="27" t="s">
        <v>159</v>
      </c>
      <c r="D47" s="26"/>
    </row>
    <row r="48" ht="20" customHeight="1" spans="1:4" x14ac:dyDescent="0.25">
      <c r="A48" s="24" t="s">
        <v>160</v>
      </c>
      <c r="B48" s="14" t="s">
        <v>161</v>
      </c>
      <c r="C48" s="15" t="s">
        <v>159</v>
      </c>
      <c r="D48" s="14"/>
    </row>
    <row r="49" ht="20" customHeight="1" spans="1:4" x14ac:dyDescent="0.25">
      <c r="A49" s="25" t="s">
        <v>162</v>
      </c>
      <c r="B49" s="26" t="s">
        <v>163</v>
      </c>
      <c r="C49" s="27" t="s">
        <v>159</v>
      </c>
      <c r="D49" s="26"/>
    </row>
    <row r="50" ht="20" customHeight="1" spans="1:4" x14ac:dyDescent="0.25">
      <c r="A50" s="24" t="s">
        <v>164</v>
      </c>
      <c r="B50" s="14" t="s">
        <v>165</v>
      </c>
      <c r="C50" s="15" t="s">
        <v>159</v>
      </c>
      <c r="D50" s="14"/>
    </row>
    <row r="51" ht="20" customHeight="1" spans="1:4" x14ac:dyDescent="0.25">
      <c r="A51" s="25" t="s">
        <v>166</v>
      </c>
      <c r="B51" s="26" t="s">
        <v>167</v>
      </c>
      <c r="C51" s="27" t="s">
        <v>159</v>
      </c>
      <c r="D51" s="26"/>
    </row>
    <row r="52" ht="18" customHeight="1" spans="1:4" x14ac:dyDescent="0.25">
      <c r="A52" s="23" t="s">
        <v>168</v>
      </c>
      <c r="B52"/>
      <c r="C52"/>
      <c r="D52"/>
    </row>
    <row r="53" ht="20" customHeight="1" spans="1:4" x14ac:dyDescent="0.25">
      <c r="A53" s="25" t="s">
        <v>169</v>
      </c>
      <c r="B53" s="26" t="s">
        <v>170</v>
      </c>
      <c r="C53" s="27" t="s">
        <v>171</v>
      </c>
      <c r="D53" s="26"/>
    </row>
    <row r="54" ht="20" customHeight="1" spans="1:4" x14ac:dyDescent="0.25">
      <c r="A54" s="24" t="s">
        <v>172</v>
      </c>
      <c r="B54" s="14" t="s">
        <v>173</v>
      </c>
      <c r="C54" s="15" t="s">
        <v>171</v>
      </c>
      <c r="D54" s="14"/>
    </row>
    <row r="55" ht="20" customHeight="1" spans="1:4" x14ac:dyDescent="0.25">
      <c r="A55" s="25" t="s">
        <v>174</v>
      </c>
      <c r="B55" s="26" t="s">
        <v>175</v>
      </c>
      <c r="C55" s="27" t="s">
        <v>171</v>
      </c>
      <c r="D55" s="26"/>
    </row>
    <row r="56" ht="20" customHeight="1" spans="1:4" x14ac:dyDescent="0.25">
      <c r="A56" s="24" t="s">
        <v>176</v>
      </c>
      <c r="B56" s="14" t="s">
        <v>177</v>
      </c>
      <c r="C56" s="15" t="s">
        <v>171</v>
      </c>
      <c r="D56" s="14"/>
    </row>
    <row r="57" ht="20" customHeight="1" spans="1:4" x14ac:dyDescent="0.25">
      <c r="A57" s="25" t="s">
        <v>178</v>
      </c>
      <c r="B57" s="26" t="s">
        <v>179</v>
      </c>
      <c r="C57" s="27" t="s">
        <v>171</v>
      </c>
      <c r="D57" s="26"/>
    </row>
    <row r="58" ht="18" customHeight="1" spans="1:4" x14ac:dyDescent="0.25">
      <c r="A58" s="23" t="s">
        <v>180</v>
      </c>
      <c r="B58"/>
      <c r="C58"/>
      <c r="D58"/>
    </row>
    <row r="59" ht="20" customHeight="1" spans="1:4" x14ac:dyDescent="0.25">
      <c r="A59" s="25" t="s">
        <v>181</v>
      </c>
      <c r="B59" s="26" t="s">
        <v>182</v>
      </c>
      <c r="C59" s="27" t="s">
        <v>183</v>
      </c>
      <c r="D59" s="26"/>
    </row>
    <row r="60" ht="18" customHeight="1" spans="1:4" x14ac:dyDescent="0.25">
      <c r="A60" s="23" t="s">
        <v>184</v>
      </c>
      <c r="B60"/>
      <c r="C60"/>
      <c r="D60"/>
    </row>
    <row r="61" ht="20" customHeight="1" spans="1:4" x14ac:dyDescent="0.25">
      <c r="A61" s="25" t="s">
        <v>185</v>
      </c>
      <c r="B61" s="26" t="s">
        <v>186</v>
      </c>
      <c r="C61" s="27" t="s">
        <v>187</v>
      </c>
      <c r="D61" s="26"/>
    </row>
    <row r="62" ht="20" customHeight="1" spans="1:4" x14ac:dyDescent="0.25">
      <c r="A62" s="24" t="s">
        <v>188</v>
      </c>
      <c r="B62" s="14" t="s">
        <v>189</v>
      </c>
      <c r="C62" s="15" t="s">
        <v>187</v>
      </c>
      <c r="D62" s="14"/>
    </row>
    <row r="63" ht="20" customHeight="1" spans="1:4" x14ac:dyDescent="0.25">
      <c r="A63" s="25" t="s">
        <v>190</v>
      </c>
      <c r="B63" s="26" t="s">
        <v>191</v>
      </c>
      <c r="C63" s="27" t="s">
        <v>187</v>
      </c>
      <c r="D63" s="26"/>
    </row>
    <row r="64" ht="20" customHeight="1" spans="1:4" x14ac:dyDescent="0.25">
      <c r="A64" s="24" t="s">
        <v>192</v>
      </c>
      <c r="B64" s="14" t="s">
        <v>193</v>
      </c>
      <c r="C64" s="15" t="s">
        <v>187</v>
      </c>
      <c r="D64" s="14"/>
    </row>
    <row r="65" ht="20" customHeight="1" spans="1:4" x14ac:dyDescent="0.25">
      <c r="A65" s="25" t="s">
        <v>194</v>
      </c>
      <c r="B65" s="26" t="s">
        <v>195</v>
      </c>
      <c r="C65" s="27" t="s">
        <v>187</v>
      </c>
      <c r="D65" s="26"/>
    </row>
    <row r="66" ht="20" customHeight="1" spans="1:4" x14ac:dyDescent="0.25">
      <c r="A66" s="24" t="s">
        <v>196</v>
      </c>
      <c r="B66" s="14" t="s">
        <v>197</v>
      </c>
      <c r="C66" s="15" t="s">
        <v>187</v>
      </c>
      <c r="D66" s="14"/>
    </row>
    <row r="67" ht="20" customHeight="1" spans="1:4" x14ac:dyDescent="0.25">
      <c r="A67" s="25" t="s">
        <v>198</v>
      </c>
      <c r="B67" s="26" t="s">
        <v>199</v>
      </c>
      <c r="C67" s="27" t="s">
        <v>187</v>
      </c>
      <c r="D67" s="26"/>
    </row>
    <row r="68" ht="20" customHeight="1" spans="1:4" x14ac:dyDescent="0.25">
      <c r="A68" s="24" t="s">
        <v>200</v>
      </c>
      <c r="B68" s="14" t="s">
        <v>201</v>
      </c>
      <c r="C68" s="15" t="s">
        <v>187</v>
      </c>
      <c r="D68" s="14"/>
    </row>
    <row r="69" ht="20" customHeight="1" spans="1:4" x14ac:dyDescent="0.25">
      <c r="A69" s="25" t="s">
        <v>202</v>
      </c>
      <c r="B69" s="26" t="s">
        <v>203</v>
      </c>
      <c r="C69" s="27" t="s">
        <v>187</v>
      </c>
      <c r="D69" s="26"/>
    </row>
  </sheetData>
  <mergeCells count="15">
    <mergeCell ref="A1:D1"/>
    <mergeCell ref="A2:D2"/>
    <mergeCell ref="A5:D5"/>
    <mergeCell ref="A12:D12"/>
    <mergeCell ref="A18:D18"/>
    <mergeCell ref="A25:D25"/>
    <mergeCell ref="A28:D28"/>
    <mergeCell ref="A32:D32"/>
    <mergeCell ref="A36:D36"/>
    <mergeCell ref="A40:D40"/>
    <mergeCell ref="A43:D43"/>
    <mergeCell ref="A46:D46"/>
    <mergeCell ref="A52:D52"/>
    <mergeCell ref="A58:D58"/>
    <mergeCell ref="A60:D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E4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8" customWidth="1"/>
    <col min="3" max="3" width="28" customWidth="1"/>
    <col min="4" max="4" width="10" customWidth="1"/>
    <col min="5" max="5" width="30" customWidth="1"/>
  </cols>
  <sheetData>
    <row r="1" ht="30" customHeight="1" spans="1:5" x14ac:dyDescent="0.25">
      <c r="A1" s="28" t="s">
        <v>204</v>
      </c>
      <c r="B1"/>
      <c r="C1"/>
      <c r="D1"/>
      <c r="E1"/>
    </row>
    <row r="2" spans="1:5" x14ac:dyDescent="0.25">
      <c r="A2" s="29" t="s">
        <v>205</v>
      </c>
      <c r="B2"/>
      <c r="C2"/>
      <c r="D2"/>
      <c r="E2"/>
    </row>
    <row r="3" ht="28" customHeight="1" spans="1:5" x14ac:dyDescent="0.25">
      <c r="A3" s="30" t="s">
        <v>206</v>
      </c>
      <c r="B3"/>
      <c r="C3"/>
      <c r="D3"/>
      <c r="E3"/>
    </row>
    <row r="5" ht="25" customHeight="1" spans="1:5" x14ac:dyDescent="0.25">
      <c r="A5" s="31" t="s">
        <v>70</v>
      </c>
      <c r="B5" s="31" t="s">
        <v>71</v>
      </c>
      <c r="C5" s="31" t="s">
        <v>72</v>
      </c>
      <c r="D5" s="31" t="s">
        <v>27</v>
      </c>
      <c r="E5" s="31" t="s">
        <v>73</v>
      </c>
    </row>
    <row r="6" ht="18" customHeight="1" spans="1:5" x14ac:dyDescent="0.25">
      <c r="A6" s="32" t="s">
        <v>207</v>
      </c>
      <c r="B6"/>
      <c r="C6"/>
      <c r="D6"/>
      <c r="E6"/>
    </row>
    <row r="7" ht="20" customHeight="1" spans="1:5" x14ac:dyDescent="0.25">
      <c r="A7" s="33" t="s">
        <v>208</v>
      </c>
      <c r="B7" s="34" t="s">
        <v>209</v>
      </c>
      <c r="C7" s="35" t="s">
        <v>210</v>
      </c>
      <c r="D7" s="33" t="s">
        <v>211</v>
      </c>
      <c r="E7" s="34"/>
    </row>
    <row r="8" ht="20" customHeight="1" spans="1:5" x14ac:dyDescent="0.25">
      <c r="A8" s="36" t="s">
        <v>212</v>
      </c>
      <c r="B8" s="14" t="s">
        <v>213</v>
      </c>
      <c r="C8" s="15" t="s">
        <v>210</v>
      </c>
      <c r="D8" s="36" t="s">
        <v>211</v>
      </c>
      <c r="E8" s="14"/>
    </row>
    <row r="9" ht="20" customHeight="1" spans="1:5" x14ac:dyDescent="0.25">
      <c r="A9" s="33" t="s">
        <v>214</v>
      </c>
      <c r="B9" s="34" t="s">
        <v>215</v>
      </c>
      <c r="C9" s="35" t="s">
        <v>210</v>
      </c>
      <c r="D9" s="33" t="s">
        <v>211</v>
      </c>
      <c r="E9" s="34"/>
    </row>
    <row r="10" ht="20" customHeight="1" spans="1:5" x14ac:dyDescent="0.25">
      <c r="A10" s="36" t="s">
        <v>216</v>
      </c>
      <c r="B10" s="14" t="s">
        <v>217</v>
      </c>
      <c r="C10" s="15" t="s">
        <v>210</v>
      </c>
      <c r="D10" s="36" t="s">
        <v>211</v>
      </c>
      <c r="E10" s="14"/>
    </row>
    <row r="11" ht="18" customHeight="1" spans="1:5" x14ac:dyDescent="0.25">
      <c r="A11" s="32" t="s">
        <v>218</v>
      </c>
      <c r="B11"/>
      <c r="C11"/>
      <c r="D11"/>
      <c r="E11"/>
    </row>
    <row r="12" ht="20" customHeight="1" spans="1:5" x14ac:dyDescent="0.25">
      <c r="A12" s="36" t="s">
        <v>219</v>
      </c>
      <c r="B12" s="14" t="s">
        <v>220</v>
      </c>
      <c r="C12" s="15" t="s">
        <v>221</v>
      </c>
      <c r="D12" s="36" t="s">
        <v>211</v>
      </c>
      <c r="E12" s="14"/>
    </row>
    <row r="13" ht="20" customHeight="1" spans="1:5" x14ac:dyDescent="0.25">
      <c r="A13" s="33" t="s">
        <v>222</v>
      </c>
      <c r="B13" s="34" t="s">
        <v>223</v>
      </c>
      <c r="C13" s="35" t="s">
        <v>221</v>
      </c>
      <c r="D13" s="33" t="s">
        <v>211</v>
      </c>
      <c r="E13" s="34"/>
    </row>
    <row r="14" ht="20" customHeight="1" spans="1:5" x14ac:dyDescent="0.25">
      <c r="A14" s="36" t="s">
        <v>224</v>
      </c>
      <c r="B14" s="14" t="s">
        <v>225</v>
      </c>
      <c r="C14" s="15" t="s">
        <v>221</v>
      </c>
      <c r="D14" s="36" t="s">
        <v>211</v>
      </c>
      <c r="E14" s="14"/>
    </row>
    <row r="15" ht="18" customHeight="1" spans="1:5" x14ac:dyDescent="0.25">
      <c r="A15" s="32" t="s">
        <v>226</v>
      </c>
      <c r="B15"/>
      <c r="C15"/>
      <c r="D15"/>
      <c r="E15"/>
    </row>
    <row r="16" ht="20" customHeight="1" spans="1:5" x14ac:dyDescent="0.25">
      <c r="A16" s="36" t="s">
        <v>227</v>
      </c>
      <c r="B16" s="14" t="s">
        <v>228</v>
      </c>
      <c r="C16" s="15" t="s">
        <v>229</v>
      </c>
      <c r="D16" s="36" t="s">
        <v>211</v>
      </c>
      <c r="E16" s="14"/>
    </row>
    <row r="17" ht="20" customHeight="1" spans="1:5" x14ac:dyDescent="0.25">
      <c r="A17" s="33" t="s">
        <v>230</v>
      </c>
      <c r="B17" s="34" t="s">
        <v>231</v>
      </c>
      <c r="C17" s="35" t="s">
        <v>229</v>
      </c>
      <c r="D17" s="33" t="s">
        <v>211</v>
      </c>
      <c r="E17" s="34"/>
    </row>
    <row r="18" ht="18" customHeight="1" spans="1:5" x14ac:dyDescent="0.25">
      <c r="A18" s="32" t="s">
        <v>232</v>
      </c>
      <c r="B18"/>
      <c r="C18"/>
      <c r="D18"/>
      <c r="E18"/>
    </row>
    <row r="19" ht="20" customHeight="1" spans="1:5" x14ac:dyDescent="0.25">
      <c r="A19" s="33" t="s">
        <v>233</v>
      </c>
      <c r="B19" s="34" t="s">
        <v>234</v>
      </c>
      <c r="C19" s="35" t="s">
        <v>235</v>
      </c>
      <c r="D19" s="33" t="s">
        <v>211</v>
      </c>
      <c r="E19" s="34"/>
    </row>
    <row r="20" ht="20" customHeight="1" spans="1:5" x14ac:dyDescent="0.25">
      <c r="A20" s="36" t="s">
        <v>236</v>
      </c>
      <c r="B20" s="14" t="s">
        <v>237</v>
      </c>
      <c r="C20" s="15" t="s">
        <v>235</v>
      </c>
      <c r="D20" s="36" t="s">
        <v>211</v>
      </c>
      <c r="E20" s="14"/>
    </row>
    <row r="21" ht="20" customHeight="1" spans="1:5" x14ac:dyDescent="0.25">
      <c r="A21" s="33" t="s">
        <v>238</v>
      </c>
      <c r="B21" s="34" t="s">
        <v>239</v>
      </c>
      <c r="C21" s="35" t="s">
        <v>235</v>
      </c>
      <c r="D21" s="33" t="s">
        <v>211</v>
      </c>
      <c r="E21" s="34"/>
    </row>
    <row r="22" ht="18" customHeight="1" spans="1:5" x14ac:dyDescent="0.25">
      <c r="A22" s="32" t="s">
        <v>240</v>
      </c>
      <c r="B22"/>
      <c r="C22"/>
      <c r="D22"/>
      <c r="E22"/>
    </row>
    <row r="23" ht="20" customHeight="1" spans="1:5" x14ac:dyDescent="0.25">
      <c r="A23" s="33" t="s">
        <v>241</v>
      </c>
      <c r="B23" s="34" t="s">
        <v>242</v>
      </c>
      <c r="C23" s="35" t="s">
        <v>243</v>
      </c>
      <c r="D23" s="33" t="s">
        <v>211</v>
      </c>
      <c r="E23" s="34"/>
    </row>
    <row r="24" ht="20" customHeight="1" spans="1:5" x14ac:dyDescent="0.25">
      <c r="A24" s="36" t="s">
        <v>244</v>
      </c>
      <c r="B24" s="14" t="s">
        <v>245</v>
      </c>
      <c r="C24" s="15" t="s">
        <v>243</v>
      </c>
      <c r="D24" s="36" t="s">
        <v>211</v>
      </c>
      <c r="E24" s="14"/>
    </row>
    <row r="25" ht="18" customHeight="1" spans="1:5" x14ac:dyDescent="0.25">
      <c r="A25" s="32" t="s">
        <v>246</v>
      </c>
      <c r="B25"/>
      <c r="C25"/>
      <c r="D25"/>
      <c r="E25"/>
    </row>
    <row r="26" ht="20" customHeight="1" spans="1:5" x14ac:dyDescent="0.25">
      <c r="A26" s="36" t="s">
        <v>247</v>
      </c>
      <c r="B26" s="14" t="s">
        <v>248</v>
      </c>
      <c r="C26" s="15" t="s">
        <v>249</v>
      </c>
      <c r="D26" s="36" t="s">
        <v>211</v>
      </c>
      <c r="E26" s="14"/>
    </row>
    <row r="27" ht="20" customHeight="1" spans="1:5" x14ac:dyDescent="0.25">
      <c r="A27" s="33" t="s">
        <v>250</v>
      </c>
      <c r="B27" s="34" t="s">
        <v>251</v>
      </c>
      <c r="C27" s="35" t="s">
        <v>249</v>
      </c>
      <c r="D27" s="33" t="s">
        <v>211</v>
      </c>
      <c r="E27" s="34"/>
    </row>
    <row r="28" ht="18" customHeight="1" spans="1:5" x14ac:dyDescent="0.25">
      <c r="A28" s="32" t="s">
        <v>252</v>
      </c>
      <c r="B28"/>
      <c r="C28"/>
      <c r="D28"/>
      <c r="E28"/>
    </row>
    <row r="29" ht="20" customHeight="1" spans="1:5" x14ac:dyDescent="0.25">
      <c r="A29" s="33" t="s">
        <v>253</v>
      </c>
      <c r="B29" s="34" t="s">
        <v>254</v>
      </c>
      <c r="C29" s="35" t="s">
        <v>255</v>
      </c>
      <c r="D29" s="33" t="s">
        <v>211</v>
      </c>
      <c r="E29" s="34"/>
    </row>
    <row r="30" ht="18" customHeight="1" spans="1:5" x14ac:dyDescent="0.25">
      <c r="A30" s="32" t="s">
        <v>256</v>
      </c>
      <c r="B30"/>
      <c r="C30"/>
      <c r="D30"/>
      <c r="E30"/>
    </row>
    <row r="31" ht="20" customHeight="1" spans="1:5" x14ac:dyDescent="0.25">
      <c r="A31" s="33" t="s">
        <v>257</v>
      </c>
      <c r="B31" s="34" t="s">
        <v>258</v>
      </c>
      <c r="C31" s="35" t="s">
        <v>259</v>
      </c>
      <c r="D31" s="33" t="s">
        <v>211</v>
      </c>
      <c r="E31" s="34"/>
    </row>
    <row r="32" ht="20" customHeight="1" spans="1:5" x14ac:dyDescent="0.25">
      <c r="A32" s="36" t="s">
        <v>260</v>
      </c>
      <c r="B32" s="14" t="s">
        <v>261</v>
      </c>
      <c r="C32" s="15" t="s">
        <v>259</v>
      </c>
      <c r="D32" s="36" t="s">
        <v>211</v>
      </c>
      <c r="E32" s="14"/>
    </row>
    <row r="33" ht="18" customHeight="1" spans="1:5" x14ac:dyDescent="0.25">
      <c r="A33" s="32" t="s">
        <v>262</v>
      </c>
      <c r="B33"/>
      <c r="C33"/>
      <c r="D33"/>
      <c r="E33"/>
    </row>
    <row r="34" ht="20" customHeight="1" spans="1:5" x14ac:dyDescent="0.25">
      <c r="A34" s="36" t="s">
        <v>263</v>
      </c>
      <c r="B34" s="14" t="s">
        <v>264</v>
      </c>
      <c r="C34" s="15" t="s">
        <v>265</v>
      </c>
      <c r="D34" s="36" t="s">
        <v>211</v>
      </c>
      <c r="E34" s="14"/>
    </row>
    <row r="35" ht="20" customHeight="1" spans="1:5" x14ac:dyDescent="0.25">
      <c r="A35" s="33" t="s">
        <v>266</v>
      </c>
      <c r="B35" s="34" t="s">
        <v>267</v>
      </c>
      <c r="C35" s="35" t="s">
        <v>265</v>
      </c>
      <c r="D35" s="33" t="s">
        <v>211</v>
      </c>
      <c r="E35" s="34"/>
    </row>
    <row r="36" ht="20" customHeight="1" spans="1:5" x14ac:dyDescent="0.25">
      <c r="A36" s="36" t="s">
        <v>268</v>
      </c>
      <c r="B36" s="14" t="s">
        <v>269</v>
      </c>
      <c r="C36" s="15" t="s">
        <v>265</v>
      </c>
      <c r="D36" s="36" t="s">
        <v>211</v>
      </c>
      <c r="E36" s="14"/>
    </row>
    <row r="37" ht="20" customHeight="1" spans="1:5" x14ac:dyDescent="0.25">
      <c r="A37" s="33" t="s">
        <v>270</v>
      </c>
      <c r="B37" s="34" t="s">
        <v>271</v>
      </c>
      <c r="C37" s="35" t="s">
        <v>265</v>
      </c>
      <c r="D37" s="33" t="s">
        <v>211</v>
      </c>
      <c r="E37" s="34"/>
    </row>
    <row r="38" ht="18" customHeight="1" spans="1:5" x14ac:dyDescent="0.25">
      <c r="A38" s="32" t="s">
        <v>272</v>
      </c>
      <c r="B38"/>
      <c r="C38"/>
      <c r="D38"/>
      <c r="E38"/>
    </row>
    <row r="39" ht="20" customHeight="1" spans="1:5" x14ac:dyDescent="0.25">
      <c r="A39" s="33" t="s">
        <v>273</v>
      </c>
      <c r="B39" s="34" t="s">
        <v>274</v>
      </c>
      <c r="C39" s="35" t="s">
        <v>275</v>
      </c>
      <c r="D39" s="33" t="s">
        <v>211</v>
      </c>
      <c r="E39" s="34"/>
    </row>
    <row r="40" ht="20" customHeight="1" spans="1:5" x14ac:dyDescent="0.25">
      <c r="A40" s="36" t="s">
        <v>276</v>
      </c>
      <c r="B40" s="14" t="s">
        <v>277</v>
      </c>
      <c r="C40" s="15" t="s">
        <v>275</v>
      </c>
      <c r="D40" s="36" t="s">
        <v>211</v>
      </c>
      <c r="E40" s="14"/>
    </row>
    <row r="41" ht="20" customHeight="1" spans="1:5" x14ac:dyDescent="0.25">
      <c r="A41" s="33" t="s">
        <v>278</v>
      </c>
      <c r="B41" s="34" t="s">
        <v>279</v>
      </c>
      <c r="C41" s="35" t="s">
        <v>275</v>
      </c>
      <c r="D41" s="33" t="s">
        <v>211</v>
      </c>
      <c r="E41" s="34"/>
    </row>
    <row r="42" ht="20" customHeight="1" spans="1:5" x14ac:dyDescent="0.25">
      <c r="A42" s="36" t="s">
        <v>280</v>
      </c>
      <c r="B42" s="14" t="s">
        <v>281</v>
      </c>
      <c r="C42" s="15" t="s">
        <v>275</v>
      </c>
      <c r="D42" s="36" t="s">
        <v>211</v>
      </c>
      <c r="E42" s="14"/>
    </row>
    <row r="43" ht="20" customHeight="1" spans="1:5" x14ac:dyDescent="0.25">
      <c r="A43" s="33" t="s">
        <v>282</v>
      </c>
      <c r="B43" s="34" t="s">
        <v>283</v>
      </c>
      <c r="C43" s="35" t="s">
        <v>275</v>
      </c>
      <c r="D43" s="33" t="s">
        <v>211</v>
      </c>
      <c r="E43" s="34"/>
    </row>
    <row r="44" ht="18" customHeight="1" spans="1:5" x14ac:dyDescent="0.25">
      <c r="A44" s="32" t="s">
        <v>284</v>
      </c>
      <c r="B44"/>
      <c r="C44"/>
      <c r="D44"/>
      <c r="E44"/>
    </row>
    <row r="45" ht="20" customHeight="1" spans="1:5" x14ac:dyDescent="0.25">
      <c r="A45" s="33" t="s">
        <v>285</v>
      </c>
      <c r="B45" s="34" t="s">
        <v>286</v>
      </c>
      <c r="C45" s="35" t="s">
        <v>287</v>
      </c>
      <c r="D45" s="33" t="s">
        <v>211</v>
      </c>
      <c r="E45" s="34"/>
    </row>
    <row r="46" ht="20" customHeight="1" spans="1:5" x14ac:dyDescent="0.25">
      <c r="A46" s="36" t="s">
        <v>288</v>
      </c>
      <c r="B46" s="14" t="s">
        <v>289</v>
      </c>
      <c r="C46" s="15" t="s">
        <v>287</v>
      </c>
      <c r="D46" s="36" t="s">
        <v>211</v>
      </c>
      <c r="E46" s="14"/>
    </row>
    <row r="47" ht="20" customHeight="1" spans="1:5" x14ac:dyDescent="0.25">
      <c r="A47" s="33" t="s">
        <v>290</v>
      </c>
      <c r="B47" s="34" t="s">
        <v>291</v>
      </c>
      <c r="C47" s="35" t="s">
        <v>287</v>
      </c>
      <c r="D47" s="33" t="s">
        <v>211</v>
      </c>
      <c r="E47" s="34"/>
    </row>
  </sheetData>
  <mergeCells count="14">
    <mergeCell ref="A1:E1"/>
    <mergeCell ref="A2:E2"/>
    <mergeCell ref="A3:E3"/>
    <mergeCell ref="A6:E6"/>
    <mergeCell ref="A11:E11"/>
    <mergeCell ref="A15:E15"/>
    <mergeCell ref="A18:E18"/>
    <mergeCell ref="A22:E22"/>
    <mergeCell ref="A25:E25"/>
    <mergeCell ref="A28:E28"/>
    <mergeCell ref="A30:E30"/>
    <mergeCell ref="A33:E33"/>
    <mergeCell ref="A38:E38"/>
    <mergeCell ref="A44:E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  <pageSetUpPr fitToPage="1"/>
  </sheetPr>
  <dimension ref="A1:U156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8" customWidth="1"/>
    <col min="3" max="3" width="32" customWidth="1"/>
    <col min="4" max="4" width="18" customWidth="1"/>
    <col min="5" max="5" width="32" customWidth="1"/>
    <col min="6" max="6" width="42" customWidth="1"/>
    <col min="7" max="7" width="7" customWidth="1"/>
    <col min="8" max="8" width="10" customWidth="1"/>
    <col min="9" max="9" width="18" customWidth="1"/>
    <col min="10" max="10" width="20" customWidth="1"/>
    <col min="11" max="11" width="12" customWidth="1"/>
    <col min="12" max="13" width="18" customWidth="1"/>
    <col min="14" max="14" width="13" customWidth="1"/>
    <col min="16" max="16" width="13" customWidth="1"/>
    <col min="17" max="17" width="20" customWidth="1"/>
    <col min="18" max="18" width="11" customWidth="1"/>
    <col min="19" max="19" width="20" customWidth="1"/>
    <col min="20" max="20" width="14" customWidth="1"/>
    <col min="21" max="21" width="30" customWidth="1"/>
  </cols>
  <sheetData>
    <row r="1" ht="35" customHeight="1" spans="1:21" x14ac:dyDescent="0.25">
      <c r="A1" s="37" t="s">
        <v>292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ht="22" customHeight="1" spans="1:21" x14ac:dyDescent="0.25">
      <c r="A2" s="38" t="s">
        <v>293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 ht="18" customHeight="1" spans="1:21" x14ac:dyDescent="0.25">
      <c r="A3" s="39" t="s">
        <v>294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ht="20" customHeight="1" spans="2:20" x14ac:dyDescent="0.25">
      <c r="B4" s="11" t="s">
        <v>295</v>
      </c>
      <c r="C4"/>
      <c r="D4"/>
      <c r="E4" s="22" t="s">
        <v>296</v>
      </c>
      <c r="F4"/>
      <c r="G4"/>
      <c r="H4"/>
      <c r="I4" s="40" t="s">
        <v>297</v>
      </c>
      <c r="J4"/>
      <c r="K4"/>
      <c r="L4"/>
      <c r="M4"/>
      <c r="N4" s="41" t="s">
        <v>298</v>
      </c>
      <c r="O4"/>
      <c r="P4"/>
      <c r="Q4" s="31" t="s">
        <v>299</v>
      </c>
      <c r="R4"/>
      <c r="S4"/>
      <c r="T4"/>
    </row>
    <row r="5" ht="35" customHeight="1" spans="1:21" x14ac:dyDescent="0.25">
      <c r="A5" s="11" t="s">
        <v>300</v>
      </c>
      <c r="B5" s="11" t="s">
        <v>301</v>
      </c>
      <c r="C5" s="11" t="s">
        <v>302</v>
      </c>
      <c r="D5" s="11" t="s">
        <v>303</v>
      </c>
      <c r="E5" s="11" t="s">
        <v>304</v>
      </c>
      <c r="F5" s="11" t="s">
        <v>305</v>
      </c>
      <c r="G5" s="11" t="s">
        <v>306</v>
      </c>
      <c r="H5" s="11" t="s">
        <v>307</v>
      </c>
      <c r="I5" s="11" t="s">
        <v>308</v>
      </c>
      <c r="J5" s="11" t="s">
        <v>309</v>
      </c>
      <c r="K5" s="11" t="s">
        <v>310</v>
      </c>
      <c r="L5" s="11" t="s">
        <v>311</v>
      </c>
      <c r="M5" s="11" t="s">
        <v>312</v>
      </c>
      <c r="N5" s="11" t="s">
        <v>313</v>
      </c>
      <c r="O5" s="11" t="s">
        <v>314</v>
      </c>
      <c r="P5" s="11" t="s">
        <v>315</v>
      </c>
      <c r="Q5" s="11" t="s">
        <v>316</v>
      </c>
      <c r="R5" s="11" t="s">
        <v>317</v>
      </c>
      <c r="S5" s="11" t="s">
        <v>318</v>
      </c>
      <c r="T5" s="11" t="s">
        <v>319</v>
      </c>
      <c r="U5" s="11" t="s">
        <v>73</v>
      </c>
    </row>
    <row r="6" ht="20" customHeight="1" spans="1:21" x14ac:dyDescent="0.25">
      <c r="A6" s="15">
        <v>1</v>
      </c>
      <c r="B6" s="42"/>
      <c r="C6" s="14"/>
      <c r="D6" s="14"/>
      <c r="E6" s="14"/>
      <c r="F6" s="14"/>
      <c r="G6" s="15"/>
      <c r="H6" s="15"/>
      <c r="I6" s="43"/>
      <c r="J6" s="44">
        <f>IF(AND(G6&lt;&gt;"",I6&lt;&gt;""),G6*I6,0)</f>
      </c>
      <c r="K6" s="15"/>
      <c r="L6" s="43"/>
      <c r="M6" s="43"/>
      <c r="N6" s="15"/>
      <c r="O6" s="15"/>
      <c r="P6" s="15"/>
      <c r="Q6" s="45"/>
      <c r="R6" s="46">
        <f>IF(J6&gt;0,Q6/J6,0)</f>
      </c>
      <c r="S6" s="47">
        <f>IF(J6&gt;0,J6-Q6,0)</f>
      </c>
      <c r="T6" s="15"/>
      <c r="U6" s="14"/>
    </row>
    <row r="7" ht="20" customHeight="1" spans="1:21" x14ac:dyDescent="0.25">
      <c r="A7" s="19">
        <v>2</v>
      </c>
      <c r="B7" s="48"/>
      <c r="C7" s="18"/>
      <c r="D7" s="18"/>
      <c r="E7" s="18"/>
      <c r="F7" s="18"/>
      <c r="G7" s="19"/>
      <c r="H7" s="19"/>
      <c r="I7" s="49"/>
      <c r="J7" s="44">
        <f>IF(AND(G7&lt;&gt;"",I7&lt;&gt;""),G7*I7,0)</f>
      </c>
      <c r="K7" s="19"/>
      <c r="L7" s="49"/>
      <c r="M7" s="49"/>
      <c r="N7" s="19"/>
      <c r="O7" s="19"/>
      <c r="P7" s="19"/>
      <c r="Q7" s="45"/>
      <c r="R7" s="46">
        <f>IF(J7&gt;0,Q7/J7,0)</f>
      </c>
      <c r="S7" s="47">
        <f>IF(J7&gt;0,J7-Q7,0)</f>
      </c>
      <c r="T7" s="19"/>
      <c r="U7" s="18"/>
    </row>
    <row r="8" ht="20" customHeight="1" spans="1:21" x14ac:dyDescent="0.25">
      <c r="A8" s="15">
        <v>3</v>
      </c>
      <c r="B8" s="42"/>
      <c r="C8" s="14"/>
      <c r="D8" s="14"/>
      <c r="E8" s="14"/>
      <c r="F8" s="14"/>
      <c r="G8" s="15"/>
      <c r="H8" s="15"/>
      <c r="I8" s="43"/>
      <c r="J8" s="44">
        <f>IF(AND(G8&lt;&gt;"",I8&lt;&gt;""),G8*I8,0)</f>
      </c>
      <c r="K8" s="15"/>
      <c r="L8" s="43"/>
      <c r="M8" s="43"/>
      <c r="N8" s="15"/>
      <c r="O8" s="15"/>
      <c r="P8" s="15"/>
      <c r="Q8" s="45"/>
      <c r="R8" s="46">
        <f>IF(J8&gt;0,Q8/J8,0)</f>
      </c>
      <c r="S8" s="47">
        <f>IF(J8&gt;0,J8-Q8,0)</f>
      </c>
      <c r="T8" s="15"/>
      <c r="U8" s="14"/>
    </row>
    <row r="9" ht="20" customHeight="1" spans="1:21" x14ac:dyDescent="0.25">
      <c r="A9" s="19">
        <v>4</v>
      </c>
      <c r="B9" s="48"/>
      <c r="C9" s="18"/>
      <c r="D9" s="18"/>
      <c r="E9" s="18"/>
      <c r="F9" s="18"/>
      <c r="G9" s="19"/>
      <c r="H9" s="19"/>
      <c r="I9" s="49"/>
      <c r="J9" s="44">
        <f>IF(AND(G9&lt;&gt;"",I9&lt;&gt;""),G9*I9,0)</f>
      </c>
      <c r="K9" s="19"/>
      <c r="L9" s="49"/>
      <c r="M9" s="49"/>
      <c r="N9" s="19"/>
      <c r="O9" s="19"/>
      <c r="P9" s="19"/>
      <c r="Q9" s="45"/>
      <c r="R9" s="46">
        <f>IF(J9&gt;0,Q9/J9,0)</f>
      </c>
      <c r="S9" s="47">
        <f>IF(J9&gt;0,J9-Q9,0)</f>
      </c>
      <c r="T9" s="19"/>
      <c r="U9" s="18"/>
    </row>
    <row r="10" ht="20" customHeight="1" spans="1:21" x14ac:dyDescent="0.25">
      <c r="A10" s="15">
        <v>5</v>
      </c>
      <c r="B10" s="42"/>
      <c r="C10" s="14"/>
      <c r="D10" s="14"/>
      <c r="E10" s="14"/>
      <c r="F10" s="14"/>
      <c r="G10" s="15"/>
      <c r="H10" s="15"/>
      <c r="I10" s="43"/>
      <c r="J10" s="44">
        <f>IF(AND(G10&lt;&gt;"",I10&lt;&gt;""),G10*I10,0)</f>
      </c>
      <c r="K10" s="15"/>
      <c r="L10" s="43"/>
      <c r="M10" s="43"/>
      <c r="N10" s="15"/>
      <c r="O10" s="15"/>
      <c r="P10" s="15"/>
      <c r="Q10" s="45"/>
      <c r="R10" s="46">
        <f>IF(J10&gt;0,Q10/J10,0)</f>
      </c>
      <c r="S10" s="47">
        <f>IF(J10&gt;0,J10-Q10,0)</f>
      </c>
      <c r="T10" s="15"/>
      <c r="U10" s="14"/>
    </row>
    <row r="11" ht="20" customHeight="1" spans="1:21" x14ac:dyDescent="0.25">
      <c r="A11" s="19">
        <v>6</v>
      </c>
      <c r="B11" s="48"/>
      <c r="C11" s="18"/>
      <c r="D11" s="18"/>
      <c r="E11" s="18"/>
      <c r="F11" s="18"/>
      <c r="G11" s="19"/>
      <c r="H11" s="19"/>
      <c r="I11" s="49"/>
      <c r="J11" s="44">
        <f>IF(AND(G11&lt;&gt;"",I11&lt;&gt;""),G11*I11,0)</f>
      </c>
      <c r="K11" s="19"/>
      <c r="L11" s="49"/>
      <c r="M11" s="49"/>
      <c r="N11" s="19"/>
      <c r="O11" s="19"/>
      <c r="P11" s="19"/>
      <c r="Q11" s="45"/>
      <c r="R11" s="46">
        <f>IF(J11&gt;0,Q11/J11,0)</f>
      </c>
      <c r="S11" s="47">
        <f>IF(J11&gt;0,J11-Q11,0)</f>
      </c>
      <c r="T11" s="19"/>
      <c r="U11" s="18"/>
    </row>
    <row r="12" ht="20" customHeight="1" spans="1:21" x14ac:dyDescent="0.25">
      <c r="A12" s="15">
        <v>7</v>
      </c>
      <c r="B12" s="42"/>
      <c r="C12" s="14"/>
      <c r="D12" s="14"/>
      <c r="E12" s="14"/>
      <c r="F12" s="14"/>
      <c r="G12" s="15"/>
      <c r="H12" s="15"/>
      <c r="I12" s="43"/>
      <c r="J12" s="44">
        <f>IF(AND(G12&lt;&gt;"",I12&lt;&gt;""),G12*I12,0)</f>
      </c>
      <c r="K12" s="15"/>
      <c r="L12" s="43"/>
      <c r="M12" s="43"/>
      <c r="N12" s="15"/>
      <c r="O12" s="15"/>
      <c r="P12" s="15"/>
      <c r="Q12" s="45"/>
      <c r="R12" s="46">
        <f>IF(J12&gt;0,Q12/J12,0)</f>
      </c>
      <c r="S12" s="47">
        <f>IF(J12&gt;0,J12-Q12,0)</f>
      </c>
      <c r="T12" s="15"/>
      <c r="U12" s="14"/>
    </row>
    <row r="13" ht="20" customHeight="1" spans="1:21" x14ac:dyDescent="0.25">
      <c r="A13" s="19">
        <v>8</v>
      </c>
      <c r="B13" s="48"/>
      <c r="C13" s="18"/>
      <c r="D13" s="18"/>
      <c r="E13" s="18"/>
      <c r="F13" s="18"/>
      <c r="G13" s="19"/>
      <c r="H13" s="19"/>
      <c r="I13" s="49"/>
      <c r="J13" s="44">
        <f>IF(AND(G13&lt;&gt;"",I13&lt;&gt;""),G13*I13,0)</f>
      </c>
      <c r="K13" s="19"/>
      <c r="L13" s="49"/>
      <c r="M13" s="49"/>
      <c r="N13" s="19"/>
      <c r="O13" s="19"/>
      <c r="P13" s="19"/>
      <c r="Q13" s="45"/>
      <c r="R13" s="46">
        <f>IF(J13&gt;0,Q13/J13,0)</f>
      </c>
      <c r="S13" s="47">
        <f>IF(J13&gt;0,J13-Q13,0)</f>
      </c>
      <c r="T13" s="19"/>
      <c r="U13" s="18"/>
    </row>
    <row r="14" ht="20" customHeight="1" spans="1:21" x14ac:dyDescent="0.25">
      <c r="A14" s="15">
        <v>9</v>
      </c>
      <c r="B14" s="42"/>
      <c r="C14" s="14"/>
      <c r="D14" s="14"/>
      <c r="E14" s="14"/>
      <c r="F14" s="14"/>
      <c r="G14" s="15"/>
      <c r="H14" s="15"/>
      <c r="I14" s="43"/>
      <c r="J14" s="44">
        <f>IF(AND(G14&lt;&gt;"",I14&lt;&gt;""),G14*I14,0)</f>
      </c>
      <c r="K14" s="15"/>
      <c r="L14" s="43"/>
      <c r="M14" s="43"/>
      <c r="N14" s="15"/>
      <c r="O14" s="15"/>
      <c r="P14" s="15"/>
      <c r="Q14" s="45"/>
      <c r="R14" s="46">
        <f>IF(J14&gt;0,Q14/J14,0)</f>
      </c>
      <c r="S14" s="47">
        <f>IF(J14&gt;0,J14-Q14,0)</f>
      </c>
      <c r="T14" s="15"/>
      <c r="U14" s="14"/>
    </row>
    <row r="15" ht="20" customHeight="1" spans="1:21" x14ac:dyDescent="0.25">
      <c r="A15" s="19">
        <v>10</v>
      </c>
      <c r="B15" s="48"/>
      <c r="C15" s="18"/>
      <c r="D15" s="18"/>
      <c r="E15" s="18"/>
      <c r="F15" s="18"/>
      <c r="G15" s="19"/>
      <c r="H15" s="19"/>
      <c r="I15" s="49"/>
      <c r="J15" s="44">
        <f>IF(AND(G15&lt;&gt;"",I15&lt;&gt;""),G15*I15,0)</f>
      </c>
      <c r="K15" s="19"/>
      <c r="L15" s="49"/>
      <c r="M15" s="49"/>
      <c r="N15" s="19"/>
      <c r="O15" s="19"/>
      <c r="P15" s="19"/>
      <c r="Q15" s="45"/>
      <c r="R15" s="46">
        <f>IF(J15&gt;0,Q15/J15,0)</f>
      </c>
      <c r="S15" s="47">
        <f>IF(J15&gt;0,J15-Q15,0)</f>
      </c>
      <c r="T15" s="19"/>
      <c r="U15" s="18"/>
    </row>
    <row r="16" ht="20" customHeight="1" spans="1:21" x14ac:dyDescent="0.25">
      <c r="A16" s="15">
        <v>11</v>
      </c>
      <c r="B16" s="42"/>
      <c r="C16" s="14"/>
      <c r="D16" s="14"/>
      <c r="E16" s="14"/>
      <c r="F16" s="14"/>
      <c r="G16" s="15"/>
      <c r="H16" s="15"/>
      <c r="I16" s="43"/>
      <c r="J16" s="44">
        <f>IF(AND(G16&lt;&gt;"",I16&lt;&gt;""),G16*I16,0)</f>
      </c>
      <c r="K16" s="15"/>
      <c r="L16" s="43"/>
      <c r="M16" s="43"/>
      <c r="N16" s="15"/>
      <c r="O16" s="15"/>
      <c r="P16" s="15"/>
      <c r="Q16" s="45"/>
      <c r="R16" s="46">
        <f>IF(J16&gt;0,Q16/J16,0)</f>
      </c>
      <c r="S16" s="47">
        <f>IF(J16&gt;0,J16-Q16,0)</f>
      </c>
      <c r="T16" s="15"/>
      <c r="U16" s="14"/>
    </row>
    <row r="17" ht="20" customHeight="1" spans="1:21" x14ac:dyDescent="0.25">
      <c r="A17" s="19">
        <v>12</v>
      </c>
      <c r="B17" s="48"/>
      <c r="C17" s="18"/>
      <c r="D17" s="18"/>
      <c r="E17" s="18"/>
      <c r="F17" s="18"/>
      <c r="G17" s="19"/>
      <c r="H17" s="19"/>
      <c r="I17" s="49"/>
      <c r="J17" s="44">
        <f>IF(AND(G17&lt;&gt;"",I17&lt;&gt;""),G17*I17,0)</f>
      </c>
      <c r="K17" s="19"/>
      <c r="L17" s="49"/>
      <c r="M17" s="49"/>
      <c r="N17" s="19"/>
      <c r="O17" s="19"/>
      <c r="P17" s="19"/>
      <c r="Q17" s="45"/>
      <c r="R17" s="46">
        <f>IF(J17&gt;0,Q17/J17,0)</f>
      </c>
      <c r="S17" s="47">
        <f>IF(J17&gt;0,J17-Q17,0)</f>
      </c>
      <c r="T17" s="19"/>
      <c r="U17" s="18"/>
    </row>
    <row r="18" ht="20" customHeight="1" spans="1:21" x14ac:dyDescent="0.25">
      <c r="A18" s="15">
        <v>13</v>
      </c>
      <c r="B18" s="42"/>
      <c r="C18" s="14"/>
      <c r="D18" s="14"/>
      <c r="E18" s="14"/>
      <c r="F18" s="14"/>
      <c r="G18" s="15"/>
      <c r="H18" s="15"/>
      <c r="I18" s="43"/>
      <c r="J18" s="44">
        <f>IF(AND(G18&lt;&gt;"",I18&lt;&gt;""),G18*I18,0)</f>
      </c>
      <c r="K18" s="15"/>
      <c r="L18" s="43"/>
      <c r="M18" s="43"/>
      <c r="N18" s="15"/>
      <c r="O18" s="15"/>
      <c r="P18" s="15"/>
      <c r="Q18" s="45"/>
      <c r="R18" s="46">
        <f>IF(J18&gt;0,Q18/J18,0)</f>
      </c>
      <c r="S18" s="47">
        <f>IF(J18&gt;0,J18-Q18,0)</f>
      </c>
      <c r="T18" s="15"/>
      <c r="U18" s="14"/>
    </row>
    <row r="19" ht="20" customHeight="1" spans="1:21" x14ac:dyDescent="0.25">
      <c r="A19" s="19">
        <v>14</v>
      </c>
      <c r="B19" s="48"/>
      <c r="C19" s="18"/>
      <c r="D19" s="18"/>
      <c r="E19" s="18"/>
      <c r="F19" s="18"/>
      <c r="G19" s="19"/>
      <c r="H19" s="19"/>
      <c r="I19" s="49"/>
      <c r="J19" s="44">
        <f>IF(AND(G19&lt;&gt;"",I19&lt;&gt;""),G19*I19,0)</f>
      </c>
      <c r="K19" s="19"/>
      <c r="L19" s="49"/>
      <c r="M19" s="49"/>
      <c r="N19" s="19"/>
      <c r="O19" s="19"/>
      <c r="P19" s="19"/>
      <c r="Q19" s="45"/>
      <c r="R19" s="46">
        <f>IF(J19&gt;0,Q19/J19,0)</f>
      </c>
      <c r="S19" s="47">
        <f>IF(J19&gt;0,J19-Q19,0)</f>
      </c>
      <c r="T19" s="19"/>
      <c r="U19" s="18"/>
    </row>
    <row r="20" ht="20" customHeight="1" spans="1:21" x14ac:dyDescent="0.25">
      <c r="A20" s="15">
        <v>15</v>
      </c>
      <c r="B20" s="42"/>
      <c r="C20" s="14"/>
      <c r="D20" s="14"/>
      <c r="E20" s="14"/>
      <c r="F20" s="14"/>
      <c r="G20" s="15"/>
      <c r="H20" s="15"/>
      <c r="I20" s="43"/>
      <c r="J20" s="44">
        <f>IF(AND(G20&lt;&gt;"",I20&lt;&gt;""),G20*I20,0)</f>
      </c>
      <c r="K20" s="15"/>
      <c r="L20" s="43"/>
      <c r="M20" s="43"/>
      <c r="N20" s="15"/>
      <c r="O20" s="15"/>
      <c r="P20" s="15"/>
      <c r="Q20" s="45"/>
      <c r="R20" s="46">
        <f>IF(J20&gt;0,Q20/J20,0)</f>
      </c>
      <c r="S20" s="47">
        <f>IF(J20&gt;0,J20-Q20,0)</f>
      </c>
      <c r="T20" s="15"/>
      <c r="U20" s="14"/>
    </row>
    <row r="21" ht="20" customHeight="1" spans="1:21" x14ac:dyDescent="0.25">
      <c r="A21" s="19">
        <v>16</v>
      </c>
      <c r="B21" s="48"/>
      <c r="C21" s="18"/>
      <c r="D21" s="18"/>
      <c r="E21" s="18"/>
      <c r="F21" s="18"/>
      <c r="G21" s="19"/>
      <c r="H21" s="19"/>
      <c r="I21" s="49"/>
      <c r="J21" s="44">
        <f>IF(AND(G21&lt;&gt;"",I21&lt;&gt;""),G21*I21,0)</f>
      </c>
      <c r="K21" s="19"/>
      <c r="L21" s="49"/>
      <c r="M21" s="49"/>
      <c r="N21" s="19"/>
      <c r="O21" s="19"/>
      <c r="P21" s="19"/>
      <c r="Q21" s="45"/>
      <c r="R21" s="46">
        <f>IF(J21&gt;0,Q21/J21,0)</f>
      </c>
      <c r="S21" s="47">
        <f>IF(J21&gt;0,J21-Q21,0)</f>
      </c>
      <c r="T21" s="19"/>
      <c r="U21" s="18"/>
    </row>
    <row r="22" ht="20" customHeight="1" spans="1:21" x14ac:dyDescent="0.25">
      <c r="A22" s="15">
        <v>17</v>
      </c>
      <c r="B22" s="42"/>
      <c r="C22" s="14"/>
      <c r="D22" s="14"/>
      <c r="E22" s="14"/>
      <c r="F22" s="14"/>
      <c r="G22" s="15"/>
      <c r="H22" s="15"/>
      <c r="I22" s="43"/>
      <c r="J22" s="44">
        <f>IF(AND(G22&lt;&gt;"",I22&lt;&gt;""),G22*I22,0)</f>
      </c>
      <c r="K22" s="15"/>
      <c r="L22" s="43"/>
      <c r="M22" s="43"/>
      <c r="N22" s="15"/>
      <c r="O22" s="15"/>
      <c r="P22" s="15"/>
      <c r="Q22" s="45"/>
      <c r="R22" s="46">
        <f>IF(J22&gt;0,Q22/J22,0)</f>
      </c>
      <c r="S22" s="47">
        <f>IF(J22&gt;0,J22-Q22,0)</f>
      </c>
      <c r="T22" s="15"/>
      <c r="U22" s="14"/>
    </row>
    <row r="23" ht="20" customHeight="1" spans="1:21" x14ac:dyDescent="0.25">
      <c r="A23" s="19">
        <v>18</v>
      </c>
      <c r="B23" s="48"/>
      <c r="C23" s="18"/>
      <c r="D23" s="18"/>
      <c r="E23" s="18"/>
      <c r="F23" s="18"/>
      <c r="G23" s="19"/>
      <c r="H23" s="19"/>
      <c r="I23" s="49"/>
      <c r="J23" s="44">
        <f>IF(AND(G23&lt;&gt;"",I23&lt;&gt;""),G23*I23,0)</f>
      </c>
      <c r="K23" s="19"/>
      <c r="L23" s="49"/>
      <c r="M23" s="49"/>
      <c r="N23" s="19"/>
      <c r="O23" s="19"/>
      <c r="P23" s="19"/>
      <c r="Q23" s="45"/>
      <c r="R23" s="46">
        <f>IF(J23&gt;0,Q23/J23,0)</f>
      </c>
      <c r="S23" s="47">
        <f>IF(J23&gt;0,J23-Q23,0)</f>
      </c>
      <c r="T23" s="19"/>
      <c r="U23" s="18"/>
    </row>
    <row r="24" ht="20" customHeight="1" spans="1:21" x14ac:dyDescent="0.25">
      <c r="A24" s="15">
        <v>19</v>
      </c>
      <c r="B24" s="42"/>
      <c r="C24" s="14"/>
      <c r="D24" s="14"/>
      <c r="E24" s="14"/>
      <c r="F24" s="14"/>
      <c r="G24" s="15"/>
      <c r="H24" s="15"/>
      <c r="I24" s="43"/>
      <c r="J24" s="44">
        <f>IF(AND(G24&lt;&gt;"",I24&lt;&gt;""),G24*I24,0)</f>
      </c>
      <c r="K24" s="15"/>
      <c r="L24" s="43"/>
      <c r="M24" s="43"/>
      <c r="N24" s="15"/>
      <c r="O24" s="15"/>
      <c r="P24" s="15"/>
      <c r="Q24" s="45"/>
      <c r="R24" s="46">
        <f>IF(J24&gt;0,Q24/J24,0)</f>
      </c>
      <c r="S24" s="47">
        <f>IF(J24&gt;0,J24-Q24,0)</f>
      </c>
      <c r="T24" s="15"/>
      <c r="U24" s="14"/>
    </row>
    <row r="25" ht="20" customHeight="1" spans="1:21" x14ac:dyDescent="0.25">
      <c r="A25" s="19">
        <v>20</v>
      </c>
      <c r="B25" s="48"/>
      <c r="C25" s="18"/>
      <c r="D25" s="18"/>
      <c r="E25" s="18"/>
      <c r="F25" s="18"/>
      <c r="G25" s="19"/>
      <c r="H25" s="19"/>
      <c r="I25" s="49"/>
      <c r="J25" s="44">
        <f>IF(AND(G25&lt;&gt;"",I25&lt;&gt;""),G25*I25,0)</f>
      </c>
      <c r="K25" s="19"/>
      <c r="L25" s="49"/>
      <c r="M25" s="49"/>
      <c r="N25" s="19"/>
      <c r="O25" s="19"/>
      <c r="P25" s="19"/>
      <c r="Q25" s="45"/>
      <c r="R25" s="46">
        <f>IF(J25&gt;0,Q25/J25,0)</f>
      </c>
      <c r="S25" s="47">
        <f>IF(J25&gt;0,J25-Q25,0)</f>
      </c>
      <c r="T25" s="19"/>
      <c r="U25" s="18"/>
    </row>
    <row r="26" ht="20" customHeight="1" spans="1:21" x14ac:dyDescent="0.25">
      <c r="A26" s="15">
        <v>21</v>
      </c>
      <c r="B26" s="42"/>
      <c r="C26" s="14"/>
      <c r="D26" s="14"/>
      <c r="E26" s="14"/>
      <c r="F26" s="14"/>
      <c r="G26" s="15"/>
      <c r="H26" s="15"/>
      <c r="I26" s="43"/>
      <c r="J26" s="44">
        <f>IF(AND(G26&lt;&gt;"",I26&lt;&gt;""),G26*I26,0)</f>
      </c>
      <c r="K26" s="15"/>
      <c r="L26" s="43"/>
      <c r="M26" s="43"/>
      <c r="N26" s="15"/>
      <c r="O26" s="15"/>
      <c r="P26" s="15"/>
      <c r="Q26" s="45"/>
      <c r="R26" s="46">
        <f>IF(J26&gt;0,Q26/J26,0)</f>
      </c>
      <c r="S26" s="47">
        <f>IF(J26&gt;0,J26-Q26,0)</f>
      </c>
      <c r="T26" s="15"/>
      <c r="U26" s="14"/>
    </row>
    <row r="27" ht="20" customHeight="1" spans="1:21" x14ac:dyDescent="0.25">
      <c r="A27" s="19">
        <v>22</v>
      </c>
      <c r="B27" s="48"/>
      <c r="C27" s="18"/>
      <c r="D27" s="18"/>
      <c r="E27" s="18"/>
      <c r="F27" s="18"/>
      <c r="G27" s="19"/>
      <c r="H27" s="19"/>
      <c r="I27" s="49"/>
      <c r="J27" s="44">
        <f>IF(AND(G27&lt;&gt;"",I27&lt;&gt;""),G27*I27,0)</f>
      </c>
      <c r="K27" s="19"/>
      <c r="L27" s="49"/>
      <c r="M27" s="49"/>
      <c r="N27" s="19"/>
      <c r="O27" s="19"/>
      <c r="P27" s="19"/>
      <c r="Q27" s="45"/>
      <c r="R27" s="46">
        <f>IF(J27&gt;0,Q27/J27,0)</f>
      </c>
      <c r="S27" s="47">
        <f>IF(J27&gt;0,J27-Q27,0)</f>
      </c>
      <c r="T27" s="19"/>
      <c r="U27" s="18"/>
    </row>
    <row r="28" ht="20" customHeight="1" spans="1:21" x14ac:dyDescent="0.25">
      <c r="A28" s="15">
        <v>23</v>
      </c>
      <c r="B28" s="42"/>
      <c r="C28" s="14"/>
      <c r="D28" s="14"/>
      <c r="E28" s="14"/>
      <c r="F28" s="14"/>
      <c r="G28" s="15"/>
      <c r="H28" s="15"/>
      <c r="I28" s="43"/>
      <c r="J28" s="44">
        <f>IF(AND(G28&lt;&gt;"",I28&lt;&gt;""),G28*I28,0)</f>
      </c>
      <c r="K28" s="15"/>
      <c r="L28" s="43"/>
      <c r="M28" s="43"/>
      <c r="N28" s="15"/>
      <c r="O28" s="15"/>
      <c r="P28" s="15"/>
      <c r="Q28" s="45"/>
      <c r="R28" s="46">
        <f>IF(J28&gt;0,Q28/J28,0)</f>
      </c>
      <c r="S28" s="47">
        <f>IF(J28&gt;0,J28-Q28,0)</f>
      </c>
      <c r="T28" s="15"/>
      <c r="U28" s="14"/>
    </row>
    <row r="29" ht="20" customHeight="1" spans="1:21" x14ac:dyDescent="0.25">
      <c r="A29" s="19">
        <v>24</v>
      </c>
      <c r="B29" s="48"/>
      <c r="C29" s="18"/>
      <c r="D29" s="18"/>
      <c r="E29" s="18"/>
      <c r="F29" s="18"/>
      <c r="G29" s="19"/>
      <c r="H29" s="19"/>
      <c r="I29" s="49"/>
      <c r="J29" s="44">
        <f>IF(AND(G29&lt;&gt;"",I29&lt;&gt;""),G29*I29,0)</f>
      </c>
      <c r="K29" s="19"/>
      <c r="L29" s="49"/>
      <c r="M29" s="49"/>
      <c r="N29" s="19"/>
      <c r="O29" s="19"/>
      <c r="P29" s="19"/>
      <c r="Q29" s="45"/>
      <c r="R29" s="46">
        <f>IF(J29&gt;0,Q29/J29,0)</f>
      </c>
      <c r="S29" s="47">
        <f>IF(J29&gt;0,J29-Q29,0)</f>
      </c>
      <c r="T29" s="19"/>
      <c r="U29" s="18"/>
    </row>
    <row r="30" ht="20" customHeight="1" spans="1:21" x14ac:dyDescent="0.25">
      <c r="A30" s="15">
        <v>25</v>
      </c>
      <c r="B30" s="42"/>
      <c r="C30" s="14"/>
      <c r="D30" s="14"/>
      <c r="E30" s="14"/>
      <c r="F30" s="14"/>
      <c r="G30" s="15"/>
      <c r="H30" s="15"/>
      <c r="I30" s="43"/>
      <c r="J30" s="44">
        <f>IF(AND(G30&lt;&gt;"",I30&lt;&gt;""),G30*I30,0)</f>
      </c>
      <c r="K30" s="15"/>
      <c r="L30" s="43"/>
      <c r="M30" s="43"/>
      <c r="N30" s="15"/>
      <c r="O30" s="15"/>
      <c r="P30" s="15"/>
      <c r="Q30" s="45"/>
      <c r="R30" s="46">
        <f>IF(J30&gt;0,Q30/J30,0)</f>
      </c>
      <c r="S30" s="47">
        <f>IF(J30&gt;0,J30-Q30,0)</f>
      </c>
      <c r="T30" s="15"/>
      <c r="U30" s="14"/>
    </row>
    <row r="31" ht="20" customHeight="1" spans="1:21" x14ac:dyDescent="0.25">
      <c r="A31" s="19">
        <v>26</v>
      </c>
      <c r="B31" s="48"/>
      <c r="C31" s="18"/>
      <c r="D31" s="18"/>
      <c r="E31" s="18"/>
      <c r="F31" s="18"/>
      <c r="G31" s="19"/>
      <c r="H31" s="19"/>
      <c r="I31" s="49"/>
      <c r="J31" s="44">
        <f>IF(AND(G31&lt;&gt;"",I31&lt;&gt;""),G31*I31,0)</f>
      </c>
      <c r="K31" s="19"/>
      <c r="L31" s="49"/>
      <c r="M31" s="49"/>
      <c r="N31" s="19"/>
      <c r="O31" s="19"/>
      <c r="P31" s="19"/>
      <c r="Q31" s="45"/>
      <c r="R31" s="46">
        <f>IF(J31&gt;0,Q31/J31,0)</f>
      </c>
      <c r="S31" s="47">
        <f>IF(J31&gt;0,J31-Q31,0)</f>
      </c>
      <c r="T31" s="19"/>
      <c r="U31" s="18"/>
    </row>
    <row r="32" ht="20" customHeight="1" spans="1:21" x14ac:dyDescent="0.25">
      <c r="A32" s="15">
        <v>27</v>
      </c>
      <c r="B32" s="42"/>
      <c r="C32" s="14"/>
      <c r="D32" s="14"/>
      <c r="E32" s="14"/>
      <c r="F32" s="14"/>
      <c r="G32" s="15"/>
      <c r="H32" s="15"/>
      <c r="I32" s="43"/>
      <c r="J32" s="44">
        <f>IF(AND(G32&lt;&gt;"",I32&lt;&gt;""),G32*I32,0)</f>
      </c>
      <c r="K32" s="15"/>
      <c r="L32" s="43"/>
      <c r="M32" s="43"/>
      <c r="N32" s="15"/>
      <c r="O32" s="15"/>
      <c r="P32" s="15"/>
      <c r="Q32" s="45"/>
      <c r="R32" s="46">
        <f>IF(J32&gt;0,Q32/J32,0)</f>
      </c>
      <c r="S32" s="47">
        <f>IF(J32&gt;0,J32-Q32,0)</f>
      </c>
      <c r="T32" s="15"/>
      <c r="U32" s="14"/>
    </row>
    <row r="33" ht="20" customHeight="1" spans="1:21" x14ac:dyDescent="0.25">
      <c r="A33" s="19">
        <v>28</v>
      </c>
      <c r="B33" s="48"/>
      <c r="C33" s="18"/>
      <c r="D33" s="18"/>
      <c r="E33" s="18"/>
      <c r="F33" s="18"/>
      <c r="G33" s="19"/>
      <c r="H33" s="19"/>
      <c r="I33" s="49"/>
      <c r="J33" s="44">
        <f>IF(AND(G33&lt;&gt;"",I33&lt;&gt;""),G33*I33,0)</f>
      </c>
      <c r="K33" s="19"/>
      <c r="L33" s="49"/>
      <c r="M33" s="49"/>
      <c r="N33" s="19"/>
      <c r="O33" s="19"/>
      <c r="P33" s="19"/>
      <c r="Q33" s="45"/>
      <c r="R33" s="46">
        <f>IF(J33&gt;0,Q33/J33,0)</f>
      </c>
      <c r="S33" s="47">
        <f>IF(J33&gt;0,J33-Q33,0)</f>
      </c>
      <c r="T33" s="19"/>
      <c r="U33" s="18"/>
    </row>
    <row r="34" ht="20" customHeight="1" spans="1:21" x14ac:dyDescent="0.25">
      <c r="A34" s="15">
        <v>29</v>
      </c>
      <c r="B34" s="42"/>
      <c r="C34" s="14"/>
      <c r="D34" s="14"/>
      <c r="E34" s="14"/>
      <c r="F34" s="14"/>
      <c r="G34" s="15"/>
      <c r="H34" s="15"/>
      <c r="I34" s="43"/>
      <c r="J34" s="44">
        <f>IF(AND(G34&lt;&gt;"",I34&lt;&gt;""),G34*I34,0)</f>
      </c>
      <c r="K34" s="15"/>
      <c r="L34" s="43"/>
      <c r="M34" s="43"/>
      <c r="N34" s="15"/>
      <c r="O34" s="15"/>
      <c r="P34" s="15"/>
      <c r="Q34" s="45"/>
      <c r="R34" s="46">
        <f>IF(J34&gt;0,Q34/J34,0)</f>
      </c>
      <c r="S34" s="47">
        <f>IF(J34&gt;0,J34-Q34,0)</f>
      </c>
      <c r="T34" s="15"/>
      <c r="U34" s="14"/>
    </row>
    <row r="35" ht="20" customHeight="1" spans="1:21" x14ac:dyDescent="0.25">
      <c r="A35" s="19">
        <v>30</v>
      </c>
      <c r="B35" s="48"/>
      <c r="C35" s="18"/>
      <c r="D35" s="18"/>
      <c r="E35" s="18"/>
      <c r="F35" s="18"/>
      <c r="G35" s="19"/>
      <c r="H35" s="19"/>
      <c r="I35" s="49"/>
      <c r="J35" s="44">
        <f>IF(AND(G35&lt;&gt;"",I35&lt;&gt;""),G35*I35,0)</f>
      </c>
      <c r="K35" s="19"/>
      <c r="L35" s="49"/>
      <c r="M35" s="49"/>
      <c r="N35" s="19"/>
      <c r="O35" s="19"/>
      <c r="P35" s="19"/>
      <c r="Q35" s="45"/>
      <c r="R35" s="46">
        <f>IF(J35&gt;0,Q35/J35,0)</f>
      </c>
      <c r="S35" s="47">
        <f>IF(J35&gt;0,J35-Q35,0)</f>
      </c>
      <c r="T35" s="19"/>
      <c r="U35" s="18"/>
    </row>
    <row r="36" ht="20" customHeight="1" spans="1:21" x14ac:dyDescent="0.25">
      <c r="A36" s="15">
        <v>31</v>
      </c>
      <c r="B36" s="42"/>
      <c r="C36" s="14"/>
      <c r="D36" s="14"/>
      <c r="E36" s="14"/>
      <c r="F36" s="14"/>
      <c r="G36" s="15"/>
      <c r="H36" s="15"/>
      <c r="I36" s="43"/>
      <c r="J36" s="44">
        <f>IF(AND(G36&lt;&gt;"",I36&lt;&gt;""),G36*I36,0)</f>
      </c>
      <c r="K36" s="15"/>
      <c r="L36" s="43"/>
      <c r="M36" s="43"/>
      <c r="N36" s="15"/>
      <c r="O36" s="15"/>
      <c r="P36" s="15"/>
      <c r="Q36" s="45"/>
      <c r="R36" s="46">
        <f>IF(J36&gt;0,Q36/J36,0)</f>
      </c>
      <c r="S36" s="47">
        <f>IF(J36&gt;0,J36-Q36,0)</f>
      </c>
      <c r="T36" s="15"/>
      <c r="U36" s="14"/>
    </row>
    <row r="37" ht="20" customHeight="1" spans="1:21" x14ac:dyDescent="0.25">
      <c r="A37" s="19">
        <v>32</v>
      </c>
      <c r="B37" s="48"/>
      <c r="C37" s="18"/>
      <c r="D37" s="18"/>
      <c r="E37" s="18"/>
      <c r="F37" s="18"/>
      <c r="G37" s="19"/>
      <c r="H37" s="19"/>
      <c r="I37" s="49"/>
      <c r="J37" s="44">
        <f>IF(AND(G37&lt;&gt;"",I37&lt;&gt;""),G37*I37,0)</f>
      </c>
      <c r="K37" s="19"/>
      <c r="L37" s="49"/>
      <c r="M37" s="49"/>
      <c r="N37" s="19"/>
      <c r="O37" s="19"/>
      <c r="P37" s="19"/>
      <c r="Q37" s="45"/>
      <c r="R37" s="46">
        <f>IF(J37&gt;0,Q37/J37,0)</f>
      </c>
      <c r="S37" s="47">
        <f>IF(J37&gt;0,J37-Q37,0)</f>
      </c>
      <c r="T37" s="19"/>
      <c r="U37" s="18"/>
    </row>
    <row r="38" ht="20" customHeight="1" spans="1:21" x14ac:dyDescent="0.25">
      <c r="A38" s="15">
        <v>33</v>
      </c>
      <c r="B38" s="42"/>
      <c r="C38" s="14"/>
      <c r="D38" s="14"/>
      <c r="E38" s="14"/>
      <c r="F38" s="14"/>
      <c r="G38" s="15"/>
      <c r="H38" s="15"/>
      <c r="I38" s="43"/>
      <c r="J38" s="44">
        <f>IF(AND(G38&lt;&gt;"",I38&lt;&gt;""),G38*I38,0)</f>
      </c>
      <c r="K38" s="15"/>
      <c r="L38" s="43"/>
      <c r="M38" s="43"/>
      <c r="N38" s="15"/>
      <c r="O38" s="15"/>
      <c r="P38" s="15"/>
      <c r="Q38" s="45"/>
      <c r="R38" s="46">
        <f>IF(J38&gt;0,Q38/J38,0)</f>
      </c>
      <c r="S38" s="47">
        <f>IF(J38&gt;0,J38-Q38,0)</f>
      </c>
      <c r="T38" s="15"/>
      <c r="U38" s="14"/>
    </row>
    <row r="39" ht="20" customHeight="1" spans="1:21" x14ac:dyDescent="0.25">
      <c r="A39" s="19">
        <v>34</v>
      </c>
      <c r="B39" s="48"/>
      <c r="C39" s="18"/>
      <c r="D39" s="18"/>
      <c r="E39" s="18"/>
      <c r="F39" s="18"/>
      <c r="G39" s="19"/>
      <c r="H39" s="19"/>
      <c r="I39" s="49"/>
      <c r="J39" s="44">
        <f>IF(AND(G39&lt;&gt;"",I39&lt;&gt;""),G39*I39,0)</f>
      </c>
      <c r="K39" s="19"/>
      <c r="L39" s="49"/>
      <c r="M39" s="49"/>
      <c r="N39" s="19"/>
      <c r="O39" s="19"/>
      <c r="P39" s="19"/>
      <c r="Q39" s="45"/>
      <c r="R39" s="46">
        <f>IF(J39&gt;0,Q39/J39,0)</f>
      </c>
      <c r="S39" s="47">
        <f>IF(J39&gt;0,J39-Q39,0)</f>
      </c>
      <c r="T39" s="19"/>
      <c r="U39" s="18"/>
    </row>
    <row r="40" ht="20" customHeight="1" spans="1:21" x14ac:dyDescent="0.25">
      <c r="A40" s="15">
        <v>35</v>
      </c>
      <c r="B40" s="42"/>
      <c r="C40" s="14"/>
      <c r="D40" s="14"/>
      <c r="E40" s="14"/>
      <c r="F40" s="14"/>
      <c r="G40" s="15"/>
      <c r="H40" s="15"/>
      <c r="I40" s="43"/>
      <c r="J40" s="44">
        <f>IF(AND(G40&lt;&gt;"",I40&lt;&gt;""),G40*I40,0)</f>
      </c>
      <c r="K40" s="15"/>
      <c r="L40" s="43"/>
      <c r="M40" s="43"/>
      <c r="N40" s="15"/>
      <c r="O40" s="15"/>
      <c r="P40" s="15"/>
      <c r="Q40" s="45"/>
      <c r="R40" s="46">
        <f>IF(J40&gt;0,Q40/J40,0)</f>
      </c>
      <c r="S40" s="47">
        <f>IF(J40&gt;0,J40-Q40,0)</f>
      </c>
      <c r="T40" s="15"/>
      <c r="U40" s="14"/>
    </row>
    <row r="41" ht="20" customHeight="1" spans="1:21" x14ac:dyDescent="0.25">
      <c r="A41" s="19">
        <v>36</v>
      </c>
      <c r="B41" s="48"/>
      <c r="C41" s="18"/>
      <c r="D41" s="18"/>
      <c r="E41" s="18"/>
      <c r="F41" s="18"/>
      <c r="G41" s="19"/>
      <c r="H41" s="19"/>
      <c r="I41" s="49"/>
      <c r="J41" s="44">
        <f>IF(AND(G41&lt;&gt;"",I41&lt;&gt;""),G41*I41,0)</f>
      </c>
      <c r="K41" s="19"/>
      <c r="L41" s="49"/>
      <c r="M41" s="49"/>
      <c r="N41" s="19"/>
      <c r="O41" s="19"/>
      <c r="P41" s="19"/>
      <c r="Q41" s="45"/>
      <c r="R41" s="46">
        <f>IF(J41&gt;0,Q41/J41,0)</f>
      </c>
      <c r="S41" s="47">
        <f>IF(J41&gt;0,J41-Q41,0)</f>
      </c>
      <c r="T41" s="19"/>
      <c r="U41" s="18"/>
    </row>
    <row r="42" ht="20" customHeight="1" spans="1:21" x14ac:dyDescent="0.25">
      <c r="A42" s="15">
        <v>37</v>
      </c>
      <c r="B42" s="42"/>
      <c r="C42" s="14"/>
      <c r="D42" s="14"/>
      <c r="E42" s="14"/>
      <c r="F42" s="14"/>
      <c r="G42" s="15"/>
      <c r="H42" s="15"/>
      <c r="I42" s="43"/>
      <c r="J42" s="44">
        <f>IF(AND(G42&lt;&gt;"",I42&lt;&gt;""),G42*I42,0)</f>
      </c>
      <c r="K42" s="15"/>
      <c r="L42" s="43"/>
      <c r="M42" s="43"/>
      <c r="N42" s="15"/>
      <c r="O42" s="15"/>
      <c r="P42" s="15"/>
      <c r="Q42" s="45"/>
      <c r="R42" s="46">
        <f>IF(J42&gt;0,Q42/J42,0)</f>
      </c>
      <c r="S42" s="47">
        <f>IF(J42&gt;0,J42-Q42,0)</f>
      </c>
      <c r="T42" s="15"/>
      <c r="U42" s="14"/>
    </row>
    <row r="43" ht="20" customHeight="1" spans="1:21" x14ac:dyDescent="0.25">
      <c r="A43" s="19">
        <v>38</v>
      </c>
      <c r="B43" s="48"/>
      <c r="C43" s="18"/>
      <c r="D43" s="18"/>
      <c r="E43" s="18"/>
      <c r="F43" s="18"/>
      <c r="G43" s="19"/>
      <c r="H43" s="19"/>
      <c r="I43" s="49"/>
      <c r="J43" s="44">
        <f>IF(AND(G43&lt;&gt;"",I43&lt;&gt;""),G43*I43,0)</f>
      </c>
      <c r="K43" s="19"/>
      <c r="L43" s="49"/>
      <c r="M43" s="49"/>
      <c r="N43" s="19"/>
      <c r="O43" s="19"/>
      <c r="P43" s="19"/>
      <c r="Q43" s="45"/>
      <c r="R43" s="46">
        <f>IF(J43&gt;0,Q43/J43,0)</f>
      </c>
      <c r="S43" s="47">
        <f>IF(J43&gt;0,J43-Q43,0)</f>
      </c>
      <c r="T43" s="19"/>
      <c r="U43" s="18"/>
    </row>
    <row r="44" ht="20" customHeight="1" spans="1:21" x14ac:dyDescent="0.25">
      <c r="A44" s="15">
        <v>39</v>
      </c>
      <c r="B44" s="42"/>
      <c r="C44" s="14"/>
      <c r="D44" s="14"/>
      <c r="E44" s="14"/>
      <c r="F44" s="14"/>
      <c r="G44" s="15"/>
      <c r="H44" s="15"/>
      <c r="I44" s="43"/>
      <c r="J44" s="44">
        <f>IF(AND(G44&lt;&gt;"",I44&lt;&gt;""),G44*I44,0)</f>
      </c>
      <c r="K44" s="15"/>
      <c r="L44" s="43"/>
      <c r="M44" s="43"/>
      <c r="N44" s="15"/>
      <c r="O44" s="15"/>
      <c r="P44" s="15"/>
      <c r="Q44" s="45"/>
      <c r="R44" s="46">
        <f>IF(J44&gt;0,Q44/J44,0)</f>
      </c>
      <c r="S44" s="47">
        <f>IF(J44&gt;0,J44-Q44,0)</f>
      </c>
      <c r="T44" s="15"/>
      <c r="U44" s="14"/>
    </row>
    <row r="45" ht="20" customHeight="1" spans="1:21" x14ac:dyDescent="0.25">
      <c r="A45" s="19">
        <v>40</v>
      </c>
      <c r="B45" s="48"/>
      <c r="C45" s="18"/>
      <c r="D45" s="18"/>
      <c r="E45" s="18"/>
      <c r="F45" s="18"/>
      <c r="G45" s="19"/>
      <c r="H45" s="19"/>
      <c r="I45" s="49"/>
      <c r="J45" s="44">
        <f>IF(AND(G45&lt;&gt;"",I45&lt;&gt;""),G45*I45,0)</f>
      </c>
      <c r="K45" s="19"/>
      <c r="L45" s="49"/>
      <c r="M45" s="49"/>
      <c r="N45" s="19"/>
      <c r="O45" s="19"/>
      <c r="P45" s="19"/>
      <c r="Q45" s="45"/>
      <c r="R45" s="46">
        <f>IF(J45&gt;0,Q45/J45,0)</f>
      </c>
      <c r="S45" s="47">
        <f>IF(J45&gt;0,J45-Q45,0)</f>
      </c>
      <c r="T45" s="19"/>
      <c r="U45" s="18"/>
    </row>
    <row r="46" ht="20" customHeight="1" spans="1:21" x14ac:dyDescent="0.25">
      <c r="A46" s="15">
        <v>41</v>
      </c>
      <c r="B46" s="42"/>
      <c r="C46" s="14"/>
      <c r="D46" s="14"/>
      <c r="E46" s="14"/>
      <c r="F46" s="14"/>
      <c r="G46" s="15"/>
      <c r="H46" s="15"/>
      <c r="I46" s="43"/>
      <c r="J46" s="44">
        <f>IF(AND(G46&lt;&gt;"",I46&lt;&gt;""),G46*I46,0)</f>
      </c>
      <c r="K46" s="15"/>
      <c r="L46" s="43"/>
      <c r="M46" s="43"/>
      <c r="N46" s="15"/>
      <c r="O46" s="15"/>
      <c r="P46" s="15"/>
      <c r="Q46" s="45"/>
      <c r="R46" s="46">
        <f>IF(J46&gt;0,Q46/J46,0)</f>
      </c>
      <c r="S46" s="47">
        <f>IF(J46&gt;0,J46-Q46,0)</f>
      </c>
      <c r="T46" s="15"/>
      <c r="U46" s="14"/>
    </row>
    <row r="47" ht="20" customHeight="1" spans="1:21" x14ac:dyDescent="0.25">
      <c r="A47" s="19">
        <v>42</v>
      </c>
      <c r="B47" s="48"/>
      <c r="C47" s="18"/>
      <c r="D47" s="18"/>
      <c r="E47" s="18"/>
      <c r="F47" s="18"/>
      <c r="G47" s="19"/>
      <c r="H47" s="19"/>
      <c r="I47" s="49"/>
      <c r="J47" s="44">
        <f>IF(AND(G47&lt;&gt;"",I47&lt;&gt;""),G47*I47,0)</f>
      </c>
      <c r="K47" s="19"/>
      <c r="L47" s="49"/>
      <c r="M47" s="49"/>
      <c r="N47" s="19"/>
      <c r="O47" s="19"/>
      <c r="P47" s="19"/>
      <c r="Q47" s="45"/>
      <c r="R47" s="46">
        <f>IF(J47&gt;0,Q47/J47,0)</f>
      </c>
      <c r="S47" s="47">
        <f>IF(J47&gt;0,J47-Q47,0)</f>
      </c>
      <c r="T47" s="19"/>
      <c r="U47" s="18"/>
    </row>
    <row r="48" ht="20" customHeight="1" spans="1:21" x14ac:dyDescent="0.25">
      <c r="A48" s="15">
        <v>43</v>
      </c>
      <c r="B48" s="42"/>
      <c r="C48" s="14"/>
      <c r="D48" s="14"/>
      <c r="E48" s="14"/>
      <c r="F48" s="14"/>
      <c r="G48" s="15"/>
      <c r="H48" s="15"/>
      <c r="I48" s="43"/>
      <c r="J48" s="44">
        <f>IF(AND(G48&lt;&gt;"",I48&lt;&gt;""),G48*I48,0)</f>
      </c>
      <c r="K48" s="15"/>
      <c r="L48" s="43"/>
      <c r="M48" s="43"/>
      <c r="N48" s="15"/>
      <c r="O48" s="15"/>
      <c r="P48" s="15"/>
      <c r="Q48" s="45"/>
      <c r="R48" s="46">
        <f>IF(J48&gt;0,Q48/J48,0)</f>
      </c>
      <c r="S48" s="47">
        <f>IF(J48&gt;0,J48-Q48,0)</f>
      </c>
      <c r="T48" s="15"/>
      <c r="U48" s="14"/>
    </row>
    <row r="49" ht="20" customHeight="1" spans="1:21" x14ac:dyDescent="0.25">
      <c r="A49" s="19">
        <v>44</v>
      </c>
      <c r="B49" s="48"/>
      <c r="C49" s="18"/>
      <c r="D49" s="18"/>
      <c r="E49" s="18"/>
      <c r="F49" s="18"/>
      <c r="G49" s="19"/>
      <c r="H49" s="19"/>
      <c r="I49" s="49"/>
      <c r="J49" s="44">
        <f>IF(AND(G49&lt;&gt;"",I49&lt;&gt;""),G49*I49,0)</f>
      </c>
      <c r="K49" s="19"/>
      <c r="L49" s="49"/>
      <c r="M49" s="49"/>
      <c r="N49" s="19"/>
      <c r="O49" s="19"/>
      <c r="P49" s="19"/>
      <c r="Q49" s="45"/>
      <c r="R49" s="46">
        <f>IF(J49&gt;0,Q49/J49,0)</f>
      </c>
      <c r="S49" s="47">
        <f>IF(J49&gt;0,J49-Q49,0)</f>
      </c>
      <c r="T49" s="19"/>
      <c r="U49" s="18"/>
    </row>
    <row r="50" ht="20" customHeight="1" spans="1:21" x14ac:dyDescent="0.25">
      <c r="A50" s="15">
        <v>45</v>
      </c>
      <c r="B50" s="42"/>
      <c r="C50" s="14"/>
      <c r="D50" s="14"/>
      <c r="E50" s="14"/>
      <c r="F50" s="14"/>
      <c r="G50" s="15"/>
      <c r="H50" s="15"/>
      <c r="I50" s="43"/>
      <c r="J50" s="44">
        <f>IF(AND(G50&lt;&gt;"",I50&lt;&gt;""),G50*I50,0)</f>
      </c>
      <c r="K50" s="15"/>
      <c r="L50" s="43"/>
      <c r="M50" s="43"/>
      <c r="N50" s="15"/>
      <c r="O50" s="15"/>
      <c r="P50" s="15"/>
      <c r="Q50" s="45"/>
      <c r="R50" s="46">
        <f>IF(J50&gt;0,Q50/J50,0)</f>
      </c>
      <c r="S50" s="47">
        <f>IF(J50&gt;0,J50-Q50,0)</f>
      </c>
      <c r="T50" s="15"/>
      <c r="U50" s="14"/>
    </row>
    <row r="51" ht="20" customHeight="1" spans="1:21" x14ac:dyDescent="0.25">
      <c r="A51" s="19">
        <v>46</v>
      </c>
      <c r="B51" s="48"/>
      <c r="C51" s="18"/>
      <c r="D51" s="18"/>
      <c r="E51" s="18"/>
      <c r="F51" s="18"/>
      <c r="G51" s="19"/>
      <c r="H51" s="19"/>
      <c r="I51" s="49"/>
      <c r="J51" s="44">
        <f>IF(AND(G51&lt;&gt;"",I51&lt;&gt;""),G51*I51,0)</f>
      </c>
      <c r="K51" s="19"/>
      <c r="L51" s="49"/>
      <c r="M51" s="49"/>
      <c r="N51" s="19"/>
      <c r="O51" s="19"/>
      <c r="P51" s="19"/>
      <c r="Q51" s="45"/>
      <c r="R51" s="46">
        <f>IF(J51&gt;0,Q51/J51,0)</f>
      </c>
      <c r="S51" s="47">
        <f>IF(J51&gt;0,J51-Q51,0)</f>
      </c>
      <c r="T51" s="19"/>
      <c r="U51" s="18"/>
    </row>
    <row r="52" ht="20" customHeight="1" spans="1:21" x14ac:dyDescent="0.25">
      <c r="A52" s="15">
        <v>47</v>
      </c>
      <c r="B52" s="42"/>
      <c r="C52" s="14"/>
      <c r="D52" s="14"/>
      <c r="E52" s="14"/>
      <c r="F52" s="14"/>
      <c r="G52" s="15"/>
      <c r="H52" s="15"/>
      <c r="I52" s="43"/>
      <c r="J52" s="44">
        <f>IF(AND(G52&lt;&gt;"",I52&lt;&gt;""),G52*I52,0)</f>
      </c>
      <c r="K52" s="15"/>
      <c r="L52" s="43"/>
      <c r="M52" s="43"/>
      <c r="N52" s="15"/>
      <c r="O52" s="15"/>
      <c r="P52" s="15"/>
      <c r="Q52" s="45"/>
      <c r="R52" s="46">
        <f>IF(J52&gt;0,Q52/J52,0)</f>
      </c>
      <c r="S52" s="47">
        <f>IF(J52&gt;0,J52-Q52,0)</f>
      </c>
      <c r="T52" s="15"/>
      <c r="U52" s="14"/>
    </row>
    <row r="53" ht="20" customHeight="1" spans="1:21" x14ac:dyDescent="0.25">
      <c r="A53" s="19">
        <v>48</v>
      </c>
      <c r="B53" s="48"/>
      <c r="C53" s="18"/>
      <c r="D53" s="18"/>
      <c r="E53" s="18"/>
      <c r="F53" s="18"/>
      <c r="G53" s="19"/>
      <c r="H53" s="19"/>
      <c r="I53" s="49"/>
      <c r="J53" s="44">
        <f>IF(AND(G53&lt;&gt;"",I53&lt;&gt;""),G53*I53,0)</f>
      </c>
      <c r="K53" s="19"/>
      <c r="L53" s="49"/>
      <c r="M53" s="49"/>
      <c r="N53" s="19"/>
      <c r="O53" s="19"/>
      <c r="P53" s="19"/>
      <c r="Q53" s="45"/>
      <c r="R53" s="46">
        <f>IF(J53&gt;0,Q53/J53,0)</f>
      </c>
      <c r="S53" s="47">
        <f>IF(J53&gt;0,J53-Q53,0)</f>
      </c>
      <c r="T53" s="19"/>
      <c r="U53" s="18"/>
    </row>
    <row r="54" ht="20" customHeight="1" spans="1:21" x14ac:dyDescent="0.25">
      <c r="A54" s="15">
        <v>49</v>
      </c>
      <c r="B54" s="42"/>
      <c r="C54" s="14"/>
      <c r="D54" s="14"/>
      <c r="E54" s="14"/>
      <c r="F54" s="14"/>
      <c r="G54" s="15"/>
      <c r="H54" s="15"/>
      <c r="I54" s="43"/>
      <c r="J54" s="44">
        <f>IF(AND(G54&lt;&gt;"",I54&lt;&gt;""),G54*I54,0)</f>
      </c>
      <c r="K54" s="15"/>
      <c r="L54" s="43"/>
      <c r="M54" s="43"/>
      <c r="N54" s="15"/>
      <c r="O54" s="15"/>
      <c r="P54" s="15"/>
      <c r="Q54" s="45"/>
      <c r="R54" s="46">
        <f>IF(J54&gt;0,Q54/J54,0)</f>
      </c>
      <c r="S54" s="47">
        <f>IF(J54&gt;0,J54-Q54,0)</f>
      </c>
      <c r="T54" s="15"/>
      <c r="U54" s="14"/>
    </row>
    <row r="55" ht="20" customHeight="1" spans="1:21" x14ac:dyDescent="0.25">
      <c r="A55" s="19">
        <v>50</v>
      </c>
      <c r="B55" s="48"/>
      <c r="C55" s="18"/>
      <c r="D55" s="18"/>
      <c r="E55" s="18"/>
      <c r="F55" s="18"/>
      <c r="G55" s="19"/>
      <c r="H55" s="19"/>
      <c r="I55" s="49"/>
      <c r="J55" s="44">
        <f>IF(AND(G55&lt;&gt;"",I55&lt;&gt;""),G55*I55,0)</f>
      </c>
      <c r="K55" s="19"/>
      <c r="L55" s="49"/>
      <c r="M55" s="49"/>
      <c r="N55" s="19"/>
      <c r="O55" s="19"/>
      <c r="P55" s="19"/>
      <c r="Q55" s="45"/>
      <c r="R55" s="46">
        <f>IF(J55&gt;0,Q55/J55,0)</f>
      </c>
      <c r="S55" s="47">
        <f>IF(J55&gt;0,J55-Q55,0)</f>
      </c>
      <c r="T55" s="19"/>
      <c r="U55" s="18"/>
    </row>
    <row r="56" ht="20" customHeight="1" spans="1:21" x14ac:dyDescent="0.25">
      <c r="A56" s="15">
        <v>51</v>
      </c>
      <c r="B56" s="42"/>
      <c r="C56" s="14"/>
      <c r="D56" s="14"/>
      <c r="E56" s="14"/>
      <c r="F56" s="14"/>
      <c r="G56" s="15"/>
      <c r="H56" s="15"/>
      <c r="I56" s="43"/>
      <c r="J56" s="44">
        <f>IF(AND(G56&lt;&gt;"",I56&lt;&gt;""),G56*I56,0)</f>
      </c>
      <c r="K56" s="15"/>
      <c r="L56" s="43"/>
      <c r="M56" s="43"/>
      <c r="N56" s="15"/>
      <c r="O56" s="15"/>
      <c r="P56" s="15"/>
      <c r="Q56" s="45"/>
      <c r="R56" s="46">
        <f>IF(J56&gt;0,Q56/J56,0)</f>
      </c>
      <c r="S56" s="47">
        <f>IF(J56&gt;0,J56-Q56,0)</f>
      </c>
      <c r="T56" s="15"/>
      <c r="U56" s="14"/>
    </row>
    <row r="57" ht="20" customHeight="1" spans="1:21" x14ac:dyDescent="0.25">
      <c r="A57" s="19">
        <v>52</v>
      </c>
      <c r="B57" s="48"/>
      <c r="C57" s="18"/>
      <c r="D57" s="18"/>
      <c r="E57" s="18"/>
      <c r="F57" s="18"/>
      <c r="G57" s="19"/>
      <c r="H57" s="19"/>
      <c r="I57" s="49"/>
      <c r="J57" s="44">
        <f>IF(AND(G57&lt;&gt;"",I57&lt;&gt;""),G57*I57,0)</f>
      </c>
      <c r="K57" s="19"/>
      <c r="L57" s="49"/>
      <c r="M57" s="49"/>
      <c r="N57" s="19"/>
      <c r="O57" s="19"/>
      <c r="P57" s="19"/>
      <c r="Q57" s="45"/>
      <c r="R57" s="46">
        <f>IF(J57&gt;0,Q57/J57,0)</f>
      </c>
      <c r="S57" s="47">
        <f>IF(J57&gt;0,J57-Q57,0)</f>
      </c>
      <c r="T57" s="19"/>
      <c r="U57" s="18"/>
    </row>
    <row r="58" ht="20" customHeight="1" spans="1:21" x14ac:dyDescent="0.25">
      <c r="A58" s="15">
        <v>53</v>
      </c>
      <c r="B58" s="42"/>
      <c r="C58" s="14"/>
      <c r="D58" s="14"/>
      <c r="E58" s="14"/>
      <c r="F58" s="14"/>
      <c r="G58" s="15"/>
      <c r="H58" s="15"/>
      <c r="I58" s="43"/>
      <c r="J58" s="44">
        <f>IF(AND(G58&lt;&gt;"",I58&lt;&gt;""),G58*I58,0)</f>
      </c>
      <c r="K58" s="15"/>
      <c r="L58" s="43"/>
      <c r="M58" s="43"/>
      <c r="N58" s="15"/>
      <c r="O58" s="15"/>
      <c r="P58" s="15"/>
      <c r="Q58" s="45"/>
      <c r="R58" s="46">
        <f>IF(J58&gt;0,Q58/J58,0)</f>
      </c>
      <c r="S58" s="47">
        <f>IF(J58&gt;0,J58-Q58,0)</f>
      </c>
      <c r="T58" s="15"/>
      <c r="U58" s="14"/>
    </row>
    <row r="59" ht="20" customHeight="1" spans="1:21" x14ac:dyDescent="0.25">
      <c r="A59" s="19">
        <v>54</v>
      </c>
      <c r="B59" s="48"/>
      <c r="C59" s="18"/>
      <c r="D59" s="18"/>
      <c r="E59" s="18"/>
      <c r="F59" s="18"/>
      <c r="G59" s="19"/>
      <c r="H59" s="19"/>
      <c r="I59" s="49"/>
      <c r="J59" s="44">
        <f>IF(AND(G59&lt;&gt;"",I59&lt;&gt;""),G59*I59,0)</f>
      </c>
      <c r="K59" s="19"/>
      <c r="L59" s="49"/>
      <c r="M59" s="49"/>
      <c r="N59" s="19"/>
      <c r="O59" s="19"/>
      <c r="P59" s="19"/>
      <c r="Q59" s="45"/>
      <c r="R59" s="46">
        <f>IF(J59&gt;0,Q59/J59,0)</f>
      </c>
      <c r="S59" s="47">
        <f>IF(J59&gt;0,J59-Q59,0)</f>
      </c>
      <c r="T59" s="19"/>
      <c r="U59" s="18"/>
    </row>
    <row r="60" ht="20" customHeight="1" spans="1:21" x14ac:dyDescent="0.25">
      <c r="A60" s="15">
        <v>55</v>
      </c>
      <c r="B60" s="42"/>
      <c r="C60" s="14"/>
      <c r="D60" s="14"/>
      <c r="E60" s="14"/>
      <c r="F60" s="14"/>
      <c r="G60" s="15"/>
      <c r="H60" s="15"/>
      <c r="I60" s="43"/>
      <c r="J60" s="44">
        <f>IF(AND(G60&lt;&gt;"",I60&lt;&gt;""),G60*I60,0)</f>
      </c>
      <c r="K60" s="15"/>
      <c r="L60" s="43"/>
      <c r="M60" s="43"/>
      <c r="N60" s="15"/>
      <c r="O60" s="15"/>
      <c r="P60" s="15"/>
      <c r="Q60" s="45"/>
      <c r="R60" s="46">
        <f>IF(J60&gt;0,Q60/J60,0)</f>
      </c>
      <c r="S60" s="47">
        <f>IF(J60&gt;0,J60-Q60,0)</f>
      </c>
      <c r="T60" s="15"/>
      <c r="U60" s="14"/>
    </row>
    <row r="61" ht="20" customHeight="1" spans="1:21" x14ac:dyDescent="0.25">
      <c r="A61" s="19">
        <v>56</v>
      </c>
      <c r="B61" s="48"/>
      <c r="C61" s="18"/>
      <c r="D61" s="18"/>
      <c r="E61" s="18"/>
      <c r="F61" s="18"/>
      <c r="G61" s="19"/>
      <c r="H61" s="19"/>
      <c r="I61" s="49"/>
      <c r="J61" s="44">
        <f>IF(AND(G61&lt;&gt;"",I61&lt;&gt;""),G61*I61,0)</f>
      </c>
      <c r="K61" s="19"/>
      <c r="L61" s="49"/>
      <c r="M61" s="49"/>
      <c r="N61" s="19"/>
      <c r="O61" s="19"/>
      <c r="P61" s="19"/>
      <c r="Q61" s="45"/>
      <c r="R61" s="46">
        <f>IF(J61&gt;0,Q61/J61,0)</f>
      </c>
      <c r="S61" s="47">
        <f>IF(J61&gt;0,J61-Q61,0)</f>
      </c>
      <c r="T61" s="19"/>
      <c r="U61" s="18"/>
    </row>
    <row r="62" ht="20" customHeight="1" spans="1:21" x14ac:dyDescent="0.25">
      <c r="A62" s="15">
        <v>57</v>
      </c>
      <c r="B62" s="42"/>
      <c r="C62" s="14"/>
      <c r="D62" s="14"/>
      <c r="E62" s="14"/>
      <c r="F62" s="14"/>
      <c r="G62" s="15"/>
      <c r="H62" s="15"/>
      <c r="I62" s="43"/>
      <c r="J62" s="44">
        <f>IF(AND(G62&lt;&gt;"",I62&lt;&gt;""),G62*I62,0)</f>
      </c>
      <c r="K62" s="15"/>
      <c r="L62" s="43"/>
      <c r="M62" s="43"/>
      <c r="N62" s="15"/>
      <c r="O62" s="15"/>
      <c r="P62" s="15"/>
      <c r="Q62" s="45"/>
      <c r="R62" s="46">
        <f>IF(J62&gt;0,Q62/J62,0)</f>
      </c>
      <c r="S62" s="47">
        <f>IF(J62&gt;0,J62-Q62,0)</f>
      </c>
      <c r="T62" s="15"/>
      <c r="U62" s="14"/>
    </row>
    <row r="63" ht="20" customHeight="1" spans="1:21" x14ac:dyDescent="0.25">
      <c r="A63" s="19">
        <v>58</v>
      </c>
      <c r="B63" s="48"/>
      <c r="C63" s="18"/>
      <c r="D63" s="18"/>
      <c r="E63" s="18"/>
      <c r="F63" s="18"/>
      <c r="G63" s="19"/>
      <c r="H63" s="19"/>
      <c r="I63" s="49"/>
      <c r="J63" s="44">
        <f>IF(AND(G63&lt;&gt;"",I63&lt;&gt;""),G63*I63,0)</f>
      </c>
      <c r="K63" s="19"/>
      <c r="L63" s="49"/>
      <c r="M63" s="49"/>
      <c r="N63" s="19"/>
      <c r="O63" s="19"/>
      <c r="P63" s="19"/>
      <c r="Q63" s="45"/>
      <c r="R63" s="46">
        <f>IF(J63&gt;0,Q63/J63,0)</f>
      </c>
      <c r="S63" s="47">
        <f>IF(J63&gt;0,J63-Q63,0)</f>
      </c>
      <c r="T63" s="19"/>
      <c r="U63" s="18"/>
    </row>
    <row r="64" ht="20" customHeight="1" spans="1:21" x14ac:dyDescent="0.25">
      <c r="A64" s="15">
        <v>59</v>
      </c>
      <c r="B64" s="42"/>
      <c r="C64" s="14"/>
      <c r="D64" s="14"/>
      <c r="E64" s="14"/>
      <c r="F64" s="14"/>
      <c r="G64" s="15"/>
      <c r="H64" s="15"/>
      <c r="I64" s="43"/>
      <c r="J64" s="44">
        <f>IF(AND(G64&lt;&gt;"",I64&lt;&gt;""),G64*I64,0)</f>
      </c>
      <c r="K64" s="15"/>
      <c r="L64" s="43"/>
      <c r="M64" s="43"/>
      <c r="N64" s="15"/>
      <c r="O64" s="15"/>
      <c r="P64" s="15"/>
      <c r="Q64" s="45"/>
      <c r="R64" s="46">
        <f>IF(J64&gt;0,Q64/J64,0)</f>
      </c>
      <c r="S64" s="47">
        <f>IF(J64&gt;0,J64-Q64,0)</f>
      </c>
      <c r="T64" s="15"/>
      <c r="U64" s="14"/>
    </row>
    <row r="65" ht="20" customHeight="1" spans="1:21" x14ac:dyDescent="0.25">
      <c r="A65" s="19">
        <v>60</v>
      </c>
      <c r="B65" s="48"/>
      <c r="C65" s="18"/>
      <c r="D65" s="18"/>
      <c r="E65" s="18"/>
      <c r="F65" s="18"/>
      <c r="G65" s="19"/>
      <c r="H65" s="19"/>
      <c r="I65" s="49"/>
      <c r="J65" s="44">
        <f>IF(AND(G65&lt;&gt;"",I65&lt;&gt;""),G65*I65,0)</f>
      </c>
      <c r="K65" s="19"/>
      <c r="L65" s="49"/>
      <c r="M65" s="49"/>
      <c r="N65" s="19"/>
      <c r="O65" s="19"/>
      <c r="P65" s="19"/>
      <c r="Q65" s="45"/>
      <c r="R65" s="46">
        <f>IF(J65&gt;0,Q65/J65,0)</f>
      </c>
      <c r="S65" s="47">
        <f>IF(J65&gt;0,J65-Q65,0)</f>
      </c>
      <c r="T65" s="19"/>
      <c r="U65" s="18"/>
    </row>
    <row r="66" ht="20" customHeight="1" spans="1:21" x14ac:dyDescent="0.25">
      <c r="A66" s="15">
        <v>61</v>
      </c>
      <c r="B66" s="42"/>
      <c r="C66" s="14"/>
      <c r="D66" s="14"/>
      <c r="E66" s="14"/>
      <c r="F66" s="14"/>
      <c r="G66" s="15"/>
      <c r="H66" s="15"/>
      <c r="I66" s="43"/>
      <c r="J66" s="44">
        <f>IF(AND(G66&lt;&gt;"",I66&lt;&gt;""),G66*I66,0)</f>
      </c>
      <c r="K66" s="15"/>
      <c r="L66" s="43"/>
      <c r="M66" s="43"/>
      <c r="N66" s="15"/>
      <c r="O66" s="15"/>
      <c r="P66" s="15"/>
      <c r="Q66" s="45"/>
      <c r="R66" s="46">
        <f>IF(J66&gt;0,Q66/J66,0)</f>
      </c>
      <c r="S66" s="47">
        <f>IF(J66&gt;0,J66-Q66,0)</f>
      </c>
      <c r="T66" s="15"/>
      <c r="U66" s="14"/>
    </row>
    <row r="67" ht="20" customHeight="1" spans="1:21" x14ac:dyDescent="0.25">
      <c r="A67" s="19">
        <v>62</v>
      </c>
      <c r="B67" s="48"/>
      <c r="C67" s="18"/>
      <c r="D67" s="18"/>
      <c r="E67" s="18"/>
      <c r="F67" s="18"/>
      <c r="G67" s="19"/>
      <c r="H67" s="19"/>
      <c r="I67" s="49"/>
      <c r="J67" s="44">
        <f>IF(AND(G67&lt;&gt;"",I67&lt;&gt;""),G67*I67,0)</f>
      </c>
      <c r="K67" s="19"/>
      <c r="L67" s="49"/>
      <c r="M67" s="49"/>
      <c r="N67" s="19"/>
      <c r="O67" s="19"/>
      <c r="P67" s="19"/>
      <c r="Q67" s="45"/>
      <c r="R67" s="46">
        <f>IF(J67&gt;0,Q67/J67,0)</f>
      </c>
      <c r="S67" s="47">
        <f>IF(J67&gt;0,J67-Q67,0)</f>
      </c>
      <c r="T67" s="19"/>
      <c r="U67" s="18"/>
    </row>
    <row r="68" ht="20" customHeight="1" spans="1:21" x14ac:dyDescent="0.25">
      <c r="A68" s="15">
        <v>63</v>
      </c>
      <c r="B68" s="42"/>
      <c r="C68" s="14"/>
      <c r="D68" s="14"/>
      <c r="E68" s="14"/>
      <c r="F68" s="14"/>
      <c r="G68" s="15"/>
      <c r="H68" s="15"/>
      <c r="I68" s="43"/>
      <c r="J68" s="44">
        <f>IF(AND(G68&lt;&gt;"",I68&lt;&gt;""),G68*I68,0)</f>
      </c>
      <c r="K68" s="15"/>
      <c r="L68" s="43"/>
      <c r="M68" s="43"/>
      <c r="N68" s="15"/>
      <c r="O68" s="15"/>
      <c r="P68" s="15"/>
      <c r="Q68" s="45"/>
      <c r="R68" s="46">
        <f>IF(J68&gt;0,Q68/J68,0)</f>
      </c>
      <c r="S68" s="47">
        <f>IF(J68&gt;0,J68-Q68,0)</f>
      </c>
      <c r="T68" s="15"/>
      <c r="U68" s="14"/>
    </row>
    <row r="69" ht="20" customHeight="1" spans="1:21" x14ac:dyDescent="0.25">
      <c r="A69" s="19">
        <v>64</v>
      </c>
      <c r="B69" s="48"/>
      <c r="C69" s="18"/>
      <c r="D69" s="18"/>
      <c r="E69" s="18"/>
      <c r="F69" s="18"/>
      <c r="G69" s="19"/>
      <c r="H69" s="19"/>
      <c r="I69" s="49"/>
      <c r="J69" s="44">
        <f>IF(AND(G69&lt;&gt;"",I69&lt;&gt;""),G69*I69,0)</f>
      </c>
      <c r="K69" s="19"/>
      <c r="L69" s="49"/>
      <c r="M69" s="49"/>
      <c r="N69" s="19"/>
      <c r="O69" s="19"/>
      <c r="P69" s="19"/>
      <c r="Q69" s="45"/>
      <c r="R69" s="46">
        <f>IF(J69&gt;0,Q69/J69,0)</f>
      </c>
      <c r="S69" s="47">
        <f>IF(J69&gt;0,J69-Q69,0)</f>
      </c>
      <c r="T69" s="19"/>
      <c r="U69" s="18"/>
    </row>
    <row r="70" ht="20" customHeight="1" spans="1:21" x14ac:dyDescent="0.25">
      <c r="A70" s="15">
        <v>65</v>
      </c>
      <c r="B70" s="42"/>
      <c r="C70" s="14"/>
      <c r="D70" s="14"/>
      <c r="E70" s="14"/>
      <c r="F70" s="14"/>
      <c r="G70" s="15"/>
      <c r="H70" s="15"/>
      <c r="I70" s="43"/>
      <c r="J70" s="44">
        <f>IF(AND(G70&lt;&gt;"",I70&lt;&gt;""),G70*I70,0)</f>
      </c>
      <c r="K70" s="15"/>
      <c r="L70" s="43"/>
      <c r="M70" s="43"/>
      <c r="N70" s="15"/>
      <c r="O70" s="15"/>
      <c r="P70" s="15"/>
      <c r="Q70" s="45"/>
      <c r="R70" s="46">
        <f>IF(J70&gt;0,Q70/J70,0)</f>
      </c>
      <c r="S70" s="47">
        <f>IF(J70&gt;0,J70-Q70,0)</f>
      </c>
      <c r="T70" s="15"/>
      <c r="U70" s="14"/>
    </row>
    <row r="71" ht="20" customHeight="1" spans="1:21" x14ac:dyDescent="0.25">
      <c r="A71" s="19">
        <v>66</v>
      </c>
      <c r="B71" s="48"/>
      <c r="C71" s="18"/>
      <c r="D71" s="18"/>
      <c r="E71" s="18"/>
      <c r="F71" s="18"/>
      <c r="G71" s="19"/>
      <c r="H71" s="19"/>
      <c r="I71" s="49"/>
      <c r="J71" s="44">
        <f>IF(AND(G71&lt;&gt;"",I71&lt;&gt;""),G71*I71,0)</f>
      </c>
      <c r="K71" s="19"/>
      <c r="L71" s="49"/>
      <c r="M71" s="49"/>
      <c r="N71" s="19"/>
      <c r="O71" s="19"/>
      <c r="P71" s="19"/>
      <c r="Q71" s="45"/>
      <c r="R71" s="46">
        <f>IF(J71&gt;0,Q71/J71,0)</f>
      </c>
      <c r="S71" s="47">
        <f>IF(J71&gt;0,J71-Q71,0)</f>
      </c>
      <c r="T71" s="19"/>
      <c r="U71" s="18"/>
    </row>
    <row r="72" ht="20" customHeight="1" spans="1:21" x14ac:dyDescent="0.25">
      <c r="A72" s="15">
        <v>67</v>
      </c>
      <c r="B72" s="42"/>
      <c r="C72" s="14"/>
      <c r="D72" s="14"/>
      <c r="E72" s="14"/>
      <c r="F72" s="14"/>
      <c r="G72" s="15"/>
      <c r="H72" s="15"/>
      <c r="I72" s="43"/>
      <c r="J72" s="44">
        <f>IF(AND(G72&lt;&gt;"",I72&lt;&gt;""),G72*I72,0)</f>
      </c>
      <c r="K72" s="15"/>
      <c r="L72" s="43"/>
      <c r="M72" s="43"/>
      <c r="N72" s="15"/>
      <c r="O72" s="15"/>
      <c r="P72" s="15"/>
      <c r="Q72" s="45"/>
      <c r="R72" s="46">
        <f>IF(J72&gt;0,Q72/J72,0)</f>
      </c>
      <c r="S72" s="47">
        <f>IF(J72&gt;0,J72-Q72,0)</f>
      </c>
      <c r="T72" s="15"/>
      <c r="U72" s="14"/>
    </row>
    <row r="73" ht="20" customHeight="1" spans="1:21" x14ac:dyDescent="0.25">
      <c r="A73" s="19">
        <v>68</v>
      </c>
      <c r="B73" s="48"/>
      <c r="C73" s="18"/>
      <c r="D73" s="18"/>
      <c r="E73" s="18"/>
      <c r="F73" s="18"/>
      <c r="G73" s="19"/>
      <c r="H73" s="19"/>
      <c r="I73" s="49"/>
      <c r="J73" s="44">
        <f>IF(AND(G73&lt;&gt;"",I73&lt;&gt;""),G73*I73,0)</f>
      </c>
      <c r="K73" s="19"/>
      <c r="L73" s="49"/>
      <c r="M73" s="49"/>
      <c r="N73" s="19"/>
      <c r="O73" s="19"/>
      <c r="P73" s="19"/>
      <c r="Q73" s="45"/>
      <c r="R73" s="46">
        <f>IF(J73&gt;0,Q73/J73,0)</f>
      </c>
      <c r="S73" s="47">
        <f>IF(J73&gt;0,J73-Q73,0)</f>
      </c>
      <c r="T73" s="19"/>
      <c r="U73" s="18"/>
    </row>
    <row r="74" ht="20" customHeight="1" spans="1:21" x14ac:dyDescent="0.25">
      <c r="A74" s="15">
        <v>69</v>
      </c>
      <c r="B74" s="42"/>
      <c r="C74" s="14"/>
      <c r="D74" s="14"/>
      <c r="E74" s="14"/>
      <c r="F74" s="14"/>
      <c r="G74" s="15"/>
      <c r="H74" s="15"/>
      <c r="I74" s="43"/>
      <c r="J74" s="44">
        <f>IF(AND(G74&lt;&gt;"",I74&lt;&gt;""),G74*I74,0)</f>
      </c>
      <c r="K74" s="15"/>
      <c r="L74" s="43"/>
      <c r="M74" s="43"/>
      <c r="N74" s="15"/>
      <c r="O74" s="15"/>
      <c r="P74" s="15"/>
      <c r="Q74" s="45"/>
      <c r="R74" s="46">
        <f>IF(J74&gt;0,Q74/J74,0)</f>
      </c>
      <c r="S74" s="47">
        <f>IF(J74&gt;0,J74-Q74,0)</f>
      </c>
      <c r="T74" s="15"/>
      <c r="U74" s="14"/>
    </row>
    <row r="75" ht="20" customHeight="1" spans="1:21" x14ac:dyDescent="0.25">
      <c r="A75" s="19">
        <v>70</v>
      </c>
      <c r="B75" s="48"/>
      <c r="C75" s="18"/>
      <c r="D75" s="18"/>
      <c r="E75" s="18"/>
      <c r="F75" s="18"/>
      <c r="G75" s="19"/>
      <c r="H75" s="19"/>
      <c r="I75" s="49"/>
      <c r="J75" s="44">
        <f>IF(AND(G75&lt;&gt;"",I75&lt;&gt;""),G75*I75,0)</f>
      </c>
      <c r="K75" s="19"/>
      <c r="L75" s="49"/>
      <c r="M75" s="49"/>
      <c r="N75" s="19"/>
      <c r="O75" s="19"/>
      <c r="P75" s="19"/>
      <c r="Q75" s="45"/>
      <c r="R75" s="46">
        <f>IF(J75&gt;0,Q75/J75,0)</f>
      </c>
      <c r="S75" s="47">
        <f>IF(J75&gt;0,J75-Q75,0)</f>
      </c>
      <c r="T75" s="19"/>
      <c r="U75" s="18"/>
    </row>
    <row r="76" ht="20" customHeight="1" spans="1:21" x14ac:dyDescent="0.25">
      <c r="A76" s="15">
        <v>71</v>
      </c>
      <c r="B76" s="42"/>
      <c r="C76" s="14"/>
      <c r="D76" s="14"/>
      <c r="E76" s="14"/>
      <c r="F76" s="14"/>
      <c r="G76" s="15"/>
      <c r="H76" s="15"/>
      <c r="I76" s="43"/>
      <c r="J76" s="44">
        <f>IF(AND(G76&lt;&gt;"",I76&lt;&gt;""),G76*I76,0)</f>
      </c>
      <c r="K76" s="15"/>
      <c r="L76" s="43"/>
      <c r="M76" s="43"/>
      <c r="N76" s="15"/>
      <c r="O76" s="15"/>
      <c r="P76" s="15"/>
      <c r="Q76" s="45"/>
      <c r="R76" s="46">
        <f>IF(J76&gt;0,Q76/J76,0)</f>
      </c>
      <c r="S76" s="47">
        <f>IF(J76&gt;0,J76-Q76,0)</f>
      </c>
      <c r="T76" s="15"/>
      <c r="U76" s="14"/>
    </row>
    <row r="77" ht="20" customHeight="1" spans="1:21" x14ac:dyDescent="0.25">
      <c r="A77" s="19">
        <v>72</v>
      </c>
      <c r="B77" s="48"/>
      <c r="C77" s="18"/>
      <c r="D77" s="18"/>
      <c r="E77" s="18"/>
      <c r="F77" s="18"/>
      <c r="G77" s="19"/>
      <c r="H77" s="19"/>
      <c r="I77" s="49"/>
      <c r="J77" s="44">
        <f>IF(AND(G77&lt;&gt;"",I77&lt;&gt;""),G77*I77,0)</f>
      </c>
      <c r="K77" s="19"/>
      <c r="L77" s="49"/>
      <c r="M77" s="49"/>
      <c r="N77" s="19"/>
      <c r="O77" s="19"/>
      <c r="P77" s="19"/>
      <c r="Q77" s="45"/>
      <c r="R77" s="46">
        <f>IF(J77&gt;0,Q77/J77,0)</f>
      </c>
      <c r="S77" s="47">
        <f>IF(J77&gt;0,J77-Q77,0)</f>
      </c>
      <c r="T77" s="19"/>
      <c r="U77" s="18"/>
    </row>
    <row r="78" ht="20" customHeight="1" spans="1:21" x14ac:dyDescent="0.25">
      <c r="A78" s="15">
        <v>73</v>
      </c>
      <c r="B78" s="42"/>
      <c r="C78" s="14"/>
      <c r="D78" s="14"/>
      <c r="E78" s="14"/>
      <c r="F78" s="14"/>
      <c r="G78" s="15"/>
      <c r="H78" s="15"/>
      <c r="I78" s="43"/>
      <c r="J78" s="44">
        <f>IF(AND(G78&lt;&gt;"",I78&lt;&gt;""),G78*I78,0)</f>
      </c>
      <c r="K78" s="15"/>
      <c r="L78" s="43"/>
      <c r="M78" s="43"/>
      <c r="N78" s="15"/>
      <c r="O78" s="15"/>
      <c r="P78" s="15"/>
      <c r="Q78" s="45"/>
      <c r="R78" s="46">
        <f>IF(J78&gt;0,Q78/J78,0)</f>
      </c>
      <c r="S78" s="47">
        <f>IF(J78&gt;0,J78-Q78,0)</f>
      </c>
      <c r="T78" s="15"/>
      <c r="U78" s="14"/>
    </row>
    <row r="79" ht="20" customHeight="1" spans="1:21" x14ac:dyDescent="0.25">
      <c r="A79" s="19">
        <v>74</v>
      </c>
      <c r="B79" s="48"/>
      <c r="C79" s="18"/>
      <c r="D79" s="18"/>
      <c r="E79" s="18"/>
      <c r="F79" s="18"/>
      <c r="G79" s="19"/>
      <c r="H79" s="19"/>
      <c r="I79" s="49"/>
      <c r="J79" s="44">
        <f>IF(AND(G79&lt;&gt;"",I79&lt;&gt;""),G79*I79,0)</f>
      </c>
      <c r="K79" s="19"/>
      <c r="L79" s="49"/>
      <c r="M79" s="49"/>
      <c r="N79" s="19"/>
      <c r="O79" s="19"/>
      <c r="P79" s="19"/>
      <c r="Q79" s="45"/>
      <c r="R79" s="46">
        <f>IF(J79&gt;0,Q79/J79,0)</f>
      </c>
      <c r="S79" s="47">
        <f>IF(J79&gt;0,J79-Q79,0)</f>
      </c>
      <c r="T79" s="19"/>
      <c r="U79" s="18"/>
    </row>
    <row r="80" ht="20" customHeight="1" spans="1:21" x14ac:dyDescent="0.25">
      <c r="A80" s="15">
        <v>75</v>
      </c>
      <c r="B80" s="42"/>
      <c r="C80" s="14"/>
      <c r="D80" s="14"/>
      <c r="E80" s="14"/>
      <c r="F80" s="14"/>
      <c r="G80" s="15"/>
      <c r="H80" s="15"/>
      <c r="I80" s="43"/>
      <c r="J80" s="44">
        <f>IF(AND(G80&lt;&gt;"",I80&lt;&gt;""),G80*I80,0)</f>
      </c>
      <c r="K80" s="15"/>
      <c r="L80" s="43"/>
      <c r="M80" s="43"/>
      <c r="N80" s="15"/>
      <c r="O80" s="15"/>
      <c r="P80" s="15"/>
      <c r="Q80" s="45"/>
      <c r="R80" s="46">
        <f>IF(J80&gt;0,Q80/J80,0)</f>
      </c>
      <c r="S80" s="47">
        <f>IF(J80&gt;0,J80-Q80,0)</f>
      </c>
      <c r="T80" s="15"/>
      <c r="U80" s="14"/>
    </row>
    <row r="81" ht="20" customHeight="1" spans="1:21" x14ac:dyDescent="0.25">
      <c r="A81" s="19">
        <v>76</v>
      </c>
      <c r="B81" s="48"/>
      <c r="C81" s="18"/>
      <c r="D81" s="18"/>
      <c r="E81" s="18"/>
      <c r="F81" s="18"/>
      <c r="G81" s="19"/>
      <c r="H81" s="19"/>
      <c r="I81" s="49"/>
      <c r="J81" s="44">
        <f>IF(AND(G81&lt;&gt;"",I81&lt;&gt;""),G81*I81,0)</f>
      </c>
      <c r="K81" s="19"/>
      <c r="L81" s="49"/>
      <c r="M81" s="49"/>
      <c r="N81" s="19"/>
      <c r="O81" s="19"/>
      <c r="P81" s="19"/>
      <c r="Q81" s="45"/>
      <c r="R81" s="46">
        <f>IF(J81&gt;0,Q81/J81,0)</f>
      </c>
      <c r="S81" s="47">
        <f>IF(J81&gt;0,J81-Q81,0)</f>
      </c>
      <c r="T81" s="19"/>
      <c r="U81" s="18"/>
    </row>
    <row r="82" ht="20" customHeight="1" spans="1:21" x14ac:dyDescent="0.25">
      <c r="A82" s="15">
        <v>77</v>
      </c>
      <c r="B82" s="42"/>
      <c r="C82" s="14"/>
      <c r="D82" s="14"/>
      <c r="E82" s="14"/>
      <c r="F82" s="14"/>
      <c r="G82" s="15"/>
      <c r="H82" s="15"/>
      <c r="I82" s="43"/>
      <c r="J82" s="44">
        <f>IF(AND(G82&lt;&gt;"",I82&lt;&gt;""),G82*I82,0)</f>
      </c>
      <c r="K82" s="15"/>
      <c r="L82" s="43"/>
      <c r="M82" s="43"/>
      <c r="N82" s="15"/>
      <c r="O82" s="15"/>
      <c r="P82" s="15"/>
      <c r="Q82" s="45"/>
      <c r="R82" s="46">
        <f>IF(J82&gt;0,Q82/J82,0)</f>
      </c>
      <c r="S82" s="47">
        <f>IF(J82&gt;0,J82-Q82,0)</f>
      </c>
      <c r="T82" s="15"/>
      <c r="U82" s="14"/>
    </row>
    <row r="83" ht="20" customHeight="1" spans="1:21" x14ac:dyDescent="0.25">
      <c r="A83" s="19">
        <v>78</v>
      </c>
      <c r="B83" s="48"/>
      <c r="C83" s="18"/>
      <c r="D83" s="18"/>
      <c r="E83" s="18"/>
      <c r="F83" s="18"/>
      <c r="G83" s="19"/>
      <c r="H83" s="19"/>
      <c r="I83" s="49"/>
      <c r="J83" s="44">
        <f>IF(AND(G83&lt;&gt;"",I83&lt;&gt;""),G83*I83,0)</f>
      </c>
      <c r="K83" s="19"/>
      <c r="L83" s="49"/>
      <c r="M83" s="49"/>
      <c r="N83" s="19"/>
      <c r="O83" s="19"/>
      <c r="P83" s="19"/>
      <c r="Q83" s="45"/>
      <c r="R83" s="46">
        <f>IF(J83&gt;0,Q83/J83,0)</f>
      </c>
      <c r="S83" s="47">
        <f>IF(J83&gt;0,J83-Q83,0)</f>
      </c>
      <c r="T83" s="19"/>
      <c r="U83" s="18"/>
    </row>
    <row r="84" ht="20" customHeight="1" spans="1:21" x14ac:dyDescent="0.25">
      <c r="A84" s="15">
        <v>79</v>
      </c>
      <c r="B84" s="42"/>
      <c r="C84" s="14"/>
      <c r="D84" s="14"/>
      <c r="E84" s="14"/>
      <c r="F84" s="14"/>
      <c r="G84" s="15"/>
      <c r="H84" s="15"/>
      <c r="I84" s="43"/>
      <c r="J84" s="44">
        <f>IF(AND(G84&lt;&gt;"",I84&lt;&gt;""),G84*I84,0)</f>
      </c>
      <c r="K84" s="15"/>
      <c r="L84" s="43"/>
      <c r="M84" s="43"/>
      <c r="N84" s="15"/>
      <c r="O84" s="15"/>
      <c r="P84" s="15"/>
      <c r="Q84" s="45"/>
      <c r="R84" s="46">
        <f>IF(J84&gt;0,Q84/J84,0)</f>
      </c>
      <c r="S84" s="47">
        <f>IF(J84&gt;0,J84-Q84,0)</f>
      </c>
      <c r="T84" s="15"/>
      <c r="U84" s="14"/>
    </row>
    <row r="85" ht="20" customHeight="1" spans="1:21" x14ac:dyDescent="0.25">
      <c r="A85" s="19">
        <v>80</v>
      </c>
      <c r="B85" s="48"/>
      <c r="C85" s="18"/>
      <c r="D85" s="18"/>
      <c r="E85" s="18"/>
      <c r="F85" s="18"/>
      <c r="G85" s="19"/>
      <c r="H85" s="19"/>
      <c r="I85" s="49"/>
      <c r="J85" s="44">
        <f>IF(AND(G85&lt;&gt;"",I85&lt;&gt;""),G85*I85,0)</f>
      </c>
      <c r="K85" s="19"/>
      <c r="L85" s="49"/>
      <c r="M85" s="49"/>
      <c r="N85" s="19"/>
      <c r="O85" s="19"/>
      <c r="P85" s="19"/>
      <c r="Q85" s="45"/>
      <c r="R85" s="46">
        <f>IF(J85&gt;0,Q85/J85,0)</f>
      </c>
      <c r="S85" s="47">
        <f>IF(J85&gt;0,J85-Q85,0)</f>
      </c>
      <c r="T85" s="19"/>
      <c r="U85" s="18"/>
    </row>
    <row r="86" ht="20" customHeight="1" spans="1:21" x14ac:dyDescent="0.25">
      <c r="A86" s="15">
        <v>81</v>
      </c>
      <c r="B86" s="42"/>
      <c r="C86" s="14"/>
      <c r="D86" s="14"/>
      <c r="E86" s="14"/>
      <c r="F86" s="14"/>
      <c r="G86" s="15"/>
      <c r="H86" s="15"/>
      <c r="I86" s="43"/>
      <c r="J86" s="44">
        <f>IF(AND(G86&lt;&gt;"",I86&lt;&gt;""),G86*I86,0)</f>
      </c>
      <c r="K86" s="15"/>
      <c r="L86" s="43"/>
      <c r="M86" s="43"/>
      <c r="N86" s="15"/>
      <c r="O86" s="15"/>
      <c r="P86" s="15"/>
      <c r="Q86" s="45"/>
      <c r="R86" s="46">
        <f>IF(J86&gt;0,Q86/J86,0)</f>
      </c>
      <c r="S86" s="47">
        <f>IF(J86&gt;0,J86-Q86,0)</f>
      </c>
      <c r="T86" s="15"/>
      <c r="U86" s="14"/>
    </row>
    <row r="87" ht="20" customHeight="1" spans="1:21" x14ac:dyDescent="0.25">
      <c r="A87" s="19">
        <v>82</v>
      </c>
      <c r="B87" s="48"/>
      <c r="C87" s="18"/>
      <c r="D87" s="18"/>
      <c r="E87" s="18"/>
      <c r="F87" s="18"/>
      <c r="G87" s="19"/>
      <c r="H87" s="19"/>
      <c r="I87" s="49"/>
      <c r="J87" s="44">
        <f>IF(AND(G87&lt;&gt;"",I87&lt;&gt;""),G87*I87,0)</f>
      </c>
      <c r="K87" s="19"/>
      <c r="L87" s="49"/>
      <c r="M87" s="49"/>
      <c r="N87" s="19"/>
      <c r="O87" s="19"/>
      <c r="P87" s="19"/>
      <c r="Q87" s="45"/>
      <c r="R87" s="46">
        <f>IF(J87&gt;0,Q87/J87,0)</f>
      </c>
      <c r="S87" s="47">
        <f>IF(J87&gt;0,J87-Q87,0)</f>
      </c>
      <c r="T87" s="19"/>
      <c r="U87" s="18"/>
    </row>
    <row r="88" ht="20" customHeight="1" spans="1:21" x14ac:dyDescent="0.25">
      <c r="A88" s="15">
        <v>83</v>
      </c>
      <c r="B88" s="42"/>
      <c r="C88" s="14"/>
      <c r="D88" s="14"/>
      <c r="E88" s="14"/>
      <c r="F88" s="14"/>
      <c r="G88" s="15"/>
      <c r="H88" s="15"/>
      <c r="I88" s="43"/>
      <c r="J88" s="44">
        <f>IF(AND(G88&lt;&gt;"",I88&lt;&gt;""),G88*I88,0)</f>
      </c>
      <c r="K88" s="15"/>
      <c r="L88" s="43"/>
      <c r="M88" s="43"/>
      <c r="N88" s="15"/>
      <c r="O88" s="15"/>
      <c r="P88" s="15"/>
      <c r="Q88" s="45"/>
      <c r="R88" s="46">
        <f>IF(J88&gt;0,Q88/J88,0)</f>
      </c>
      <c r="S88" s="47">
        <f>IF(J88&gt;0,J88-Q88,0)</f>
      </c>
      <c r="T88" s="15"/>
      <c r="U88" s="14"/>
    </row>
    <row r="89" ht="20" customHeight="1" spans="1:21" x14ac:dyDescent="0.25">
      <c r="A89" s="19">
        <v>84</v>
      </c>
      <c r="B89" s="48"/>
      <c r="C89" s="18"/>
      <c r="D89" s="18"/>
      <c r="E89" s="18"/>
      <c r="F89" s="18"/>
      <c r="G89" s="19"/>
      <c r="H89" s="19"/>
      <c r="I89" s="49"/>
      <c r="J89" s="44">
        <f>IF(AND(G89&lt;&gt;"",I89&lt;&gt;""),G89*I89,0)</f>
      </c>
      <c r="K89" s="19"/>
      <c r="L89" s="49"/>
      <c r="M89" s="49"/>
      <c r="N89" s="19"/>
      <c r="O89" s="19"/>
      <c r="P89" s="19"/>
      <c r="Q89" s="45"/>
      <c r="R89" s="46">
        <f>IF(J89&gt;0,Q89/J89,0)</f>
      </c>
      <c r="S89" s="47">
        <f>IF(J89&gt;0,J89-Q89,0)</f>
      </c>
      <c r="T89" s="19"/>
      <c r="U89" s="18"/>
    </row>
    <row r="90" ht="20" customHeight="1" spans="1:21" x14ac:dyDescent="0.25">
      <c r="A90" s="15">
        <v>85</v>
      </c>
      <c r="B90" s="42"/>
      <c r="C90" s="14"/>
      <c r="D90" s="14"/>
      <c r="E90" s="14"/>
      <c r="F90" s="14"/>
      <c r="G90" s="15"/>
      <c r="H90" s="15"/>
      <c r="I90" s="43"/>
      <c r="J90" s="44">
        <f>IF(AND(G90&lt;&gt;"",I90&lt;&gt;""),G90*I90,0)</f>
      </c>
      <c r="K90" s="15"/>
      <c r="L90" s="43"/>
      <c r="M90" s="43"/>
      <c r="N90" s="15"/>
      <c r="O90" s="15"/>
      <c r="P90" s="15"/>
      <c r="Q90" s="45"/>
      <c r="R90" s="46">
        <f>IF(J90&gt;0,Q90/J90,0)</f>
      </c>
      <c r="S90" s="47">
        <f>IF(J90&gt;0,J90-Q90,0)</f>
      </c>
      <c r="T90" s="15"/>
      <c r="U90" s="14"/>
    </row>
    <row r="91" ht="20" customHeight="1" spans="1:21" x14ac:dyDescent="0.25">
      <c r="A91" s="19">
        <v>86</v>
      </c>
      <c r="B91" s="48"/>
      <c r="C91" s="18"/>
      <c r="D91" s="18"/>
      <c r="E91" s="18"/>
      <c r="F91" s="18"/>
      <c r="G91" s="19"/>
      <c r="H91" s="19"/>
      <c r="I91" s="49"/>
      <c r="J91" s="44">
        <f>IF(AND(G91&lt;&gt;"",I91&lt;&gt;""),G91*I91,0)</f>
      </c>
      <c r="K91" s="19"/>
      <c r="L91" s="49"/>
      <c r="M91" s="49"/>
      <c r="N91" s="19"/>
      <c r="O91" s="19"/>
      <c r="P91" s="19"/>
      <c r="Q91" s="45"/>
      <c r="R91" s="46">
        <f>IF(J91&gt;0,Q91/J91,0)</f>
      </c>
      <c r="S91" s="47">
        <f>IF(J91&gt;0,J91-Q91,0)</f>
      </c>
      <c r="T91" s="19"/>
      <c r="U91" s="18"/>
    </row>
    <row r="92" ht="20" customHeight="1" spans="1:21" x14ac:dyDescent="0.25">
      <c r="A92" s="15">
        <v>87</v>
      </c>
      <c r="B92" s="42"/>
      <c r="C92" s="14"/>
      <c r="D92" s="14"/>
      <c r="E92" s="14"/>
      <c r="F92" s="14"/>
      <c r="G92" s="15"/>
      <c r="H92" s="15"/>
      <c r="I92" s="43"/>
      <c r="J92" s="44">
        <f>IF(AND(G92&lt;&gt;"",I92&lt;&gt;""),G92*I92,0)</f>
      </c>
      <c r="K92" s="15"/>
      <c r="L92" s="43"/>
      <c r="M92" s="43"/>
      <c r="N92" s="15"/>
      <c r="O92" s="15"/>
      <c r="P92" s="15"/>
      <c r="Q92" s="45"/>
      <c r="R92" s="46">
        <f>IF(J92&gt;0,Q92/J92,0)</f>
      </c>
      <c r="S92" s="47">
        <f>IF(J92&gt;0,J92-Q92,0)</f>
      </c>
      <c r="T92" s="15"/>
      <c r="U92" s="14"/>
    </row>
    <row r="93" ht="20" customHeight="1" spans="1:21" x14ac:dyDescent="0.25">
      <c r="A93" s="19">
        <v>88</v>
      </c>
      <c r="B93" s="48"/>
      <c r="C93" s="18"/>
      <c r="D93" s="18"/>
      <c r="E93" s="18"/>
      <c r="F93" s="18"/>
      <c r="G93" s="19"/>
      <c r="H93" s="19"/>
      <c r="I93" s="49"/>
      <c r="J93" s="44">
        <f>IF(AND(G93&lt;&gt;"",I93&lt;&gt;""),G93*I93,0)</f>
      </c>
      <c r="K93" s="19"/>
      <c r="L93" s="49"/>
      <c r="M93" s="49"/>
      <c r="N93" s="19"/>
      <c r="O93" s="19"/>
      <c r="P93" s="19"/>
      <c r="Q93" s="45"/>
      <c r="R93" s="46">
        <f>IF(J93&gt;0,Q93/J93,0)</f>
      </c>
      <c r="S93" s="47">
        <f>IF(J93&gt;0,J93-Q93,0)</f>
      </c>
      <c r="T93" s="19"/>
      <c r="U93" s="18"/>
    </row>
    <row r="94" ht="20" customHeight="1" spans="1:21" x14ac:dyDescent="0.25">
      <c r="A94" s="15">
        <v>89</v>
      </c>
      <c r="B94" s="42"/>
      <c r="C94" s="14"/>
      <c r="D94" s="14"/>
      <c r="E94" s="14"/>
      <c r="F94" s="14"/>
      <c r="G94" s="15"/>
      <c r="H94" s="15"/>
      <c r="I94" s="43"/>
      <c r="J94" s="44">
        <f>IF(AND(G94&lt;&gt;"",I94&lt;&gt;""),G94*I94,0)</f>
      </c>
      <c r="K94" s="15"/>
      <c r="L94" s="43"/>
      <c r="M94" s="43"/>
      <c r="N94" s="15"/>
      <c r="O94" s="15"/>
      <c r="P94" s="15"/>
      <c r="Q94" s="45"/>
      <c r="R94" s="46">
        <f>IF(J94&gt;0,Q94/J94,0)</f>
      </c>
      <c r="S94" s="47">
        <f>IF(J94&gt;0,J94-Q94,0)</f>
      </c>
      <c r="T94" s="15"/>
      <c r="U94" s="14"/>
    </row>
    <row r="95" ht="20" customHeight="1" spans="1:21" x14ac:dyDescent="0.25">
      <c r="A95" s="19">
        <v>90</v>
      </c>
      <c r="B95" s="48"/>
      <c r="C95" s="18"/>
      <c r="D95" s="18"/>
      <c r="E95" s="18"/>
      <c r="F95" s="18"/>
      <c r="G95" s="19"/>
      <c r="H95" s="19"/>
      <c r="I95" s="49"/>
      <c r="J95" s="44">
        <f>IF(AND(G95&lt;&gt;"",I95&lt;&gt;""),G95*I95,0)</f>
      </c>
      <c r="K95" s="19"/>
      <c r="L95" s="49"/>
      <c r="M95" s="49"/>
      <c r="N95" s="19"/>
      <c r="O95" s="19"/>
      <c r="P95" s="19"/>
      <c r="Q95" s="45"/>
      <c r="R95" s="46">
        <f>IF(J95&gt;0,Q95/J95,0)</f>
      </c>
      <c r="S95" s="47">
        <f>IF(J95&gt;0,J95-Q95,0)</f>
      </c>
      <c r="T95" s="19"/>
      <c r="U95" s="18"/>
    </row>
    <row r="96" ht="20" customHeight="1" spans="1:21" x14ac:dyDescent="0.25">
      <c r="A96" s="15">
        <v>91</v>
      </c>
      <c r="B96" s="42"/>
      <c r="C96" s="14"/>
      <c r="D96" s="14"/>
      <c r="E96" s="14"/>
      <c r="F96" s="14"/>
      <c r="G96" s="15"/>
      <c r="H96" s="15"/>
      <c r="I96" s="43"/>
      <c r="J96" s="44">
        <f>IF(AND(G96&lt;&gt;"",I96&lt;&gt;""),G96*I96,0)</f>
      </c>
      <c r="K96" s="15"/>
      <c r="L96" s="43"/>
      <c r="M96" s="43"/>
      <c r="N96" s="15"/>
      <c r="O96" s="15"/>
      <c r="P96" s="15"/>
      <c r="Q96" s="45"/>
      <c r="R96" s="46">
        <f>IF(J96&gt;0,Q96/J96,0)</f>
      </c>
      <c r="S96" s="47">
        <f>IF(J96&gt;0,J96-Q96,0)</f>
      </c>
      <c r="T96" s="15"/>
      <c r="U96" s="14"/>
    </row>
    <row r="97" ht="20" customHeight="1" spans="1:21" x14ac:dyDescent="0.25">
      <c r="A97" s="19">
        <v>92</v>
      </c>
      <c r="B97" s="48"/>
      <c r="C97" s="18"/>
      <c r="D97" s="18"/>
      <c r="E97" s="18"/>
      <c r="F97" s="18"/>
      <c r="G97" s="19"/>
      <c r="H97" s="19"/>
      <c r="I97" s="49"/>
      <c r="J97" s="44">
        <f>IF(AND(G97&lt;&gt;"",I97&lt;&gt;""),G97*I97,0)</f>
      </c>
      <c r="K97" s="19"/>
      <c r="L97" s="49"/>
      <c r="M97" s="49"/>
      <c r="N97" s="19"/>
      <c r="O97" s="19"/>
      <c r="P97" s="19"/>
      <c r="Q97" s="45"/>
      <c r="R97" s="46">
        <f>IF(J97&gt;0,Q97/J97,0)</f>
      </c>
      <c r="S97" s="47">
        <f>IF(J97&gt;0,J97-Q97,0)</f>
      </c>
      <c r="T97" s="19"/>
      <c r="U97" s="18"/>
    </row>
    <row r="98" ht="20" customHeight="1" spans="1:21" x14ac:dyDescent="0.25">
      <c r="A98" s="15">
        <v>93</v>
      </c>
      <c r="B98" s="42"/>
      <c r="C98" s="14"/>
      <c r="D98" s="14"/>
      <c r="E98" s="14"/>
      <c r="F98" s="14"/>
      <c r="G98" s="15"/>
      <c r="H98" s="15"/>
      <c r="I98" s="43"/>
      <c r="J98" s="44">
        <f>IF(AND(G98&lt;&gt;"",I98&lt;&gt;""),G98*I98,0)</f>
      </c>
      <c r="K98" s="15"/>
      <c r="L98" s="43"/>
      <c r="M98" s="43"/>
      <c r="N98" s="15"/>
      <c r="O98" s="15"/>
      <c r="P98" s="15"/>
      <c r="Q98" s="45"/>
      <c r="R98" s="46">
        <f>IF(J98&gt;0,Q98/J98,0)</f>
      </c>
      <c r="S98" s="47">
        <f>IF(J98&gt;0,J98-Q98,0)</f>
      </c>
      <c r="T98" s="15"/>
      <c r="U98" s="14"/>
    </row>
    <row r="99" ht="20" customHeight="1" spans="1:21" x14ac:dyDescent="0.25">
      <c r="A99" s="19">
        <v>94</v>
      </c>
      <c r="B99" s="48"/>
      <c r="C99" s="18"/>
      <c r="D99" s="18"/>
      <c r="E99" s="18"/>
      <c r="F99" s="18"/>
      <c r="G99" s="19"/>
      <c r="H99" s="19"/>
      <c r="I99" s="49"/>
      <c r="J99" s="44">
        <f>IF(AND(G99&lt;&gt;"",I99&lt;&gt;""),G99*I99,0)</f>
      </c>
      <c r="K99" s="19"/>
      <c r="L99" s="49"/>
      <c r="M99" s="49"/>
      <c r="N99" s="19"/>
      <c r="O99" s="19"/>
      <c r="P99" s="19"/>
      <c r="Q99" s="45"/>
      <c r="R99" s="46">
        <f>IF(J99&gt;0,Q99/J99,0)</f>
      </c>
      <c r="S99" s="47">
        <f>IF(J99&gt;0,J99-Q99,0)</f>
      </c>
      <c r="T99" s="19"/>
      <c r="U99" s="18"/>
    </row>
    <row r="100" ht="20" customHeight="1" spans="1:21" x14ac:dyDescent="0.25">
      <c r="A100" s="15">
        <v>95</v>
      </c>
      <c r="B100" s="42"/>
      <c r="C100" s="14"/>
      <c r="D100" s="14"/>
      <c r="E100" s="14"/>
      <c r="F100" s="14"/>
      <c r="G100" s="15"/>
      <c r="H100" s="15"/>
      <c r="I100" s="43"/>
      <c r="J100" s="44">
        <f>IF(AND(G100&lt;&gt;"",I100&lt;&gt;""),G100*I100,0)</f>
      </c>
      <c r="K100" s="15"/>
      <c r="L100" s="43"/>
      <c r="M100" s="43"/>
      <c r="N100" s="15"/>
      <c r="O100" s="15"/>
      <c r="P100" s="15"/>
      <c r="Q100" s="45"/>
      <c r="R100" s="46">
        <f>IF(J100&gt;0,Q100/J100,0)</f>
      </c>
      <c r="S100" s="47">
        <f>IF(J100&gt;0,J100-Q100,0)</f>
      </c>
      <c r="T100" s="15"/>
      <c r="U100" s="14"/>
    </row>
    <row r="101" ht="20" customHeight="1" spans="1:21" x14ac:dyDescent="0.25">
      <c r="A101" s="19">
        <v>96</v>
      </c>
      <c r="B101" s="48"/>
      <c r="C101" s="18"/>
      <c r="D101" s="18"/>
      <c r="E101" s="18"/>
      <c r="F101" s="18"/>
      <c r="G101" s="19"/>
      <c r="H101" s="19"/>
      <c r="I101" s="49"/>
      <c r="J101" s="44">
        <f>IF(AND(G101&lt;&gt;"",I101&lt;&gt;""),G101*I101,0)</f>
      </c>
      <c r="K101" s="19"/>
      <c r="L101" s="49"/>
      <c r="M101" s="49"/>
      <c r="N101" s="19"/>
      <c r="O101" s="19"/>
      <c r="P101" s="19"/>
      <c r="Q101" s="45"/>
      <c r="R101" s="46">
        <f>IF(J101&gt;0,Q101/J101,0)</f>
      </c>
      <c r="S101" s="47">
        <f>IF(J101&gt;0,J101-Q101,0)</f>
      </c>
      <c r="T101" s="19"/>
      <c r="U101" s="18"/>
    </row>
    <row r="102" ht="20" customHeight="1" spans="1:21" x14ac:dyDescent="0.25">
      <c r="A102" s="15">
        <v>97</v>
      </c>
      <c r="B102" s="42"/>
      <c r="C102" s="14"/>
      <c r="D102" s="14"/>
      <c r="E102" s="14"/>
      <c r="F102" s="14"/>
      <c r="G102" s="15"/>
      <c r="H102" s="15"/>
      <c r="I102" s="43"/>
      <c r="J102" s="44">
        <f>IF(AND(G102&lt;&gt;"",I102&lt;&gt;""),G102*I102,0)</f>
      </c>
      <c r="K102" s="15"/>
      <c r="L102" s="43"/>
      <c r="M102" s="43"/>
      <c r="N102" s="15"/>
      <c r="O102" s="15"/>
      <c r="P102" s="15"/>
      <c r="Q102" s="45"/>
      <c r="R102" s="46">
        <f>IF(J102&gt;0,Q102/J102,0)</f>
      </c>
      <c r="S102" s="47">
        <f>IF(J102&gt;0,J102-Q102,0)</f>
      </c>
      <c r="T102" s="15"/>
      <c r="U102" s="14"/>
    </row>
    <row r="103" ht="20" customHeight="1" spans="1:21" x14ac:dyDescent="0.25">
      <c r="A103" s="19">
        <v>98</v>
      </c>
      <c r="B103" s="48"/>
      <c r="C103" s="18"/>
      <c r="D103" s="18"/>
      <c r="E103" s="18"/>
      <c r="F103" s="18"/>
      <c r="G103" s="19"/>
      <c r="H103" s="19"/>
      <c r="I103" s="49"/>
      <c r="J103" s="44">
        <f>IF(AND(G103&lt;&gt;"",I103&lt;&gt;""),G103*I103,0)</f>
      </c>
      <c r="K103" s="19"/>
      <c r="L103" s="49"/>
      <c r="M103" s="49"/>
      <c r="N103" s="19"/>
      <c r="O103" s="19"/>
      <c r="P103" s="19"/>
      <c r="Q103" s="45"/>
      <c r="R103" s="46">
        <f>IF(J103&gt;0,Q103/J103,0)</f>
      </c>
      <c r="S103" s="47">
        <f>IF(J103&gt;0,J103-Q103,0)</f>
      </c>
      <c r="T103" s="19"/>
      <c r="U103" s="18"/>
    </row>
    <row r="104" ht="20" customHeight="1" spans="1:21" x14ac:dyDescent="0.25">
      <c r="A104" s="15">
        <v>99</v>
      </c>
      <c r="B104" s="42"/>
      <c r="C104" s="14"/>
      <c r="D104" s="14"/>
      <c r="E104" s="14"/>
      <c r="F104" s="14"/>
      <c r="G104" s="15"/>
      <c r="H104" s="15"/>
      <c r="I104" s="43"/>
      <c r="J104" s="44">
        <f>IF(AND(G104&lt;&gt;"",I104&lt;&gt;""),G104*I104,0)</f>
      </c>
      <c r="K104" s="15"/>
      <c r="L104" s="43"/>
      <c r="M104" s="43"/>
      <c r="N104" s="15"/>
      <c r="O104" s="15"/>
      <c r="P104" s="15"/>
      <c r="Q104" s="45"/>
      <c r="R104" s="46">
        <f>IF(J104&gt;0,Q104/J104,0)</f>
      </c>
      <c r="S104" s="47">
        <f>IF(J104&gt;0,J104-Q104,0)</f>
      </c>
      <c r="T104" s="15"/>
      <c r="U104" s="14"/>
    </row>
    <row r="105" ht="20" customHeight="1" spans="1:21" x14ac:dyDescent="0.25">
      <c r="A105" s="19">
        <v>100</v>
      </c>
      <c r="B105" s="48"/>
      <c r="C105" s="18"/>
      <c r="D105" s="18"/>
      <c r="E105" s="18"/>
      <c r="F105" s="18"/>
      <c r="G105" s="19"/>
      <c r="H105" s="19"/>
      <c r="I105" s="49"/>
      <c r="J105" s="44">
        <f>IF(AND(G105&lt;&gt;"",I105&lt;&gt;""),G105*I105,0)</f>
      </c>
      <c r="K105" s="19"/>
      <c r="L105" s="49"/>
      <c r="M105" s="49"/>
      <c r="N105" s="19"/>
      <c r="O105" s="19"/>
      <c r="P105" s="19"/>
      <c r="Q105" s="45"/>
      <c r="R105" s="46">
        <f>IF(J105&gt;0,Q105/J105,0)</f>
      </c>
      <c r="S105" s="47">
        <f>IF(J105&gt;0,J105-Q105,0)</f>
      </c>
      <c r="T105" s="19"/>
      <c r="U105" s="18"/>
    </row>
    <row r="106" ht="20" customHeight="1" spans="1:21" x14ac:dyDescent="0.25">
      <c r="A106" s="15">
        <v>101</v>
      </c>
      <c r="B106" s="42"/>
      <c r="C106" s="14"/>
      <c r="D106" s="14"/>
      <c r="E106" s="14"/>
      <c r="F106" s="14"/>
      <c r="G106" s="15"/>
      <c r="H106" s="15"/>
      <c r="I106" s="43"/>
      <c r="J106" s="44">
        <f>IF(AND(G106&lt;&gt;"",I106&lt;&gt;""),G106*I106,0)</f>
      </c>
      <c r="K106" s="15"/>
      <c r="L106" s="43"/>
      <c r="M106" s="43"/>
      <c r="N106" s="15"/>
      <c r="O106" s="15"/>
      <c r="P106" s="15"/>
      <c r="Q106" s="45"/>
      <c r="R106" s="46">
        <f>IF(J106&gt;0,Q106/J106,0)</f>
      </c>
      <c r="S106" s="47">
        <f>IF(J106&gt;0,J106-Q106,0)</f>
      </c>
      <c r="T106" s="15"/>
      <c r="U106" s="14"/>
    </row>
    <row r="107" ht="20" customHeight="1" spans="1:21" x14ac:dyDescent="0.25">
      <c r="A107" s="19">
        <v>102</v>
      </c>
      <c r="B107" s="48"/>
      <c r="C107" s="18"/>
      <c r="D107" s="18"/>
      <c r="E107" s="18"/>
      <c r="F107" s="18"/>
      <c r="G107" s="19"/>
      <c r="H107" s="19"/>
      <c r="I107" s="49"/>
      <c r="J107" s="44">
        <f>IF(AND(G107&lt;&gt;"",I107&lt;&gt;""),G107*I107,0)</f>
      </c>
      <c r="K107" s="19"/>
      <c r="L107" s="49"/>
      <c r="M107" s="49"/>
      <c r="N107" s="19"/>
      <c r="O107" s="19"/>
      <c r="P107" s="19"/>
      <c r="Q107" s="45"/>
      <c r="R107" s="46">
        <f>IF(J107&gt;0,Q107/J107,0)</f>
      </c>
      <c r="S107" s="47">
        <f>IF(J107&gt;0,J107-Q107,0)</f>
      </c>
      <c r="T107" s="19"/>
      <c r="U107" s="18"/>
    </row>
    <row r="108" ht="20" customHeight="1" spans="1:21" x14ac:dyDescent="0.25">
      <c r="A108" s="15">
        <v>103</v>
      </c>
      <c r="B108" s="42"/>
      <c r="C108" s="14"/>
      <c r="D108" s="14"/>
      <c r="E108" s="14"/>
      <c r="F108" s="14"/>
      <c r="G108" s="15"/>
      <c r="H108" s="15"/>
      <c r="I108" s="43"/>
      <c r="J108" s="44">
        <f>IF(AND(G108&lt;&gt;"",I108&lt;&gt;""),G108*I108,0)</f>
      </c>
      <c r="K108" s="15"/>
      <c r="L108" s="43"/>
      <c r="M108" s="43"/>
      <c r="N108" s="15"/>
      <c r="O108" s="15"/>
      <c r="P108" s="15"/>
      <c r="Q108" s="45"/>
      <c r="R108" s="46">
        <f>IF(J108&gt;0,Q108/J108,0)</f>
      </c>
      <c r="S108" s="47">
        <f>IF(J108&gt;0,J108-Q108,0)</f>
      </c>
      <c r="T108" s="15"/>
      <c r="U108" s="14"/>
    </row>
    <row r="109" ht="20" customHeight="1" spans="1:21" x14ac:dyDescent="0.25">
      <c r="A109" s="19">
        <v>104</v>
      </c>
      <c r="B109" s="48"/>
      <c r="C109" s="18"/>
      <c r="D109" s="18"/>
      <c r="E109" s="18"/>
      <c r="F109" s="18"/>
      <c r="G109" s="19"/>
      <c r="H109" s="19"/>
      <c r="I109" s="49"/>
      <c r="J109" s="44">
        <f>IF(AND(G109&lt;&gt;"",I109&lt;&gt;""),G109*I109,0)</f>
      </c>
      <c r="K109" s="19"/>
      <c r="L109" s="49"/>
      <c r="M109" s="49"/>
      <c r="N109" s="19"/>
      <c r="O109" s="19"/>
      <c r="P109" s="19"/>
      <c r="Q109" s="45"/>
      <c r="R109" s="46">
        <f>IF(J109&gt;0,Q109/J109,0)</f>
      </c>
      <c r="S109" s="47">
        <f>IF(J109&gt;0,J109-Q109,0)</f>
      </c>
      <c r="T109" s="19"/>
      <c r="U109" s="18"/>
    </row>
    <row r="110" ht="20" customHeight="1" spans="1:21" x14ac:dyDescent="0.25">
      <c r="A110" s="15">
        <v>105</v>
      </c>
      <c r="B110" s="42"/>
      <c r="C110" s="14"/>
      <c r="D110" s="14"/>
      <c r="E110" s="14"/>
      <c r="F110" s="14"/>
      <c r="G110" s="15"/>
      <c r="H110" s="15"/>
      <c r="I110" s="43"/>
      <c r="J110" s="44">
        <f>IF(AND(G110&lt;&gt;"",I110&lt;&gt;""),G110*I110,0)</f>
      </c>
      <c r="K110" s="15"/>
      <c r="L110" s="43"/>
      <c r="M110" s="43"/>
      <c r="N110" s="15"/>
      <c r="O110" s="15"/>
      <c r="P110" s="15"/>
      <c r="Q110" s="45"/>
      <c r="R110" s="46">
        <f>IF(J110&gt;0,Q110/J110,0)</f>
      </c>
      <c r="S110" s="47">
        <f>IF(J110&gt;0,J110-Q110,0)</f>
      </c>
      <c r="T110" s="15"/>
      <c r="U110" s="14"/>
    </row>
    <row r="111" ht="20" customHeight="1" spans="1:21" x14ac:dyDescent="0.25">
      <c r="A111" s="19">
        <v>106</v>
      </c>
      <c r="B111" s="48"/>
      <c r="C111" s="18"/>
      <c r="D111" s="18"/>
      <c r="E111" s="18"/>
      <c r="F111" s="18"/>
      <c r="G111" s="19"/>
      <c r="H111" s="19"/>
      <c r="I111" s="49"/>
      <c r="J111" s="44">
        <f>IF(AND(G111&lt;&gt;"",I111&lt;&gt;""),G111*I111,0)</f>
      </c>
      <c r="K111" s="19"/>
      <c r="L111" s="49"/>
      <c r="M111" s="49"/>
      <c r="N111" s="19"/>
      <c r="O111" s="19"/>
      <c r="P111" s="19"/>
      <c r="Q111" s="45"/>
      <c r="R111" s="46">
        <f>IF(J111&gt;0,Q111/J111,0)</f>
      </c>
      <c r="S111" s="47">
        <f>IF(J111&gt;0,J111-Q111,0)</f>
      </c>
      <c r="T111" s="19"/>
      <c r="U111" s="18"/>
    </row>
    <row r="112" ht="20" customHeight="1" spans="1:21" x14ac:dyDescent="0.25">
      <c r="A112" s="15">
        <v>107</v>
      </c>
      <c r="B112" s="42"/>
      <c r="C112" s="14"/>
      <c r="D112" s="14"/>
      <c r="E112" s="14"/>
      <c r="F112" s="14"/>
      <c r="G112" s="15"/>
      <c r="H112" s="15"/>
      <c r="I112" s="43"/>
      <c r="J112" s="44">
        <f>IF(AND(G112&lt;&gt;"",I112&lt;&gt;""),G112*I112,0)</f>
      </c>
      <c r="K112" s="15"/>
      <c r="L112" s="43"/>
      <c r="M112" s="43"/>
      <c r="N112" s="15"/>
      <c r="O112" s="15"/>
      <c r="P112" s="15"/>
      <c r="Q112" s="45"/>
      <c r="R112" s="46">
        <f>IF(J112&gt;0,Q112/J112,0)</f>
      </c>
      <c r="S112" s="47">
        <f>IF(J112&gt;0,J112-Q112,0)</f>
      </c>
      <c r="T112" s="15"/>
      <c r="U112" s="14"/>
    </row>
    <row r="113" ht="20" customHeight="1" spans="1:21" x14ac:dyDescent="0.25">
      <c r="A113" s="19">
        <v>108</v>
      </c>
      <c r="B113" s="48"/>
      <c r="C113" s="18"/>
      <c r="D113" s="18"/>
      <c r="E113" s="18"/>
      <c r="F113" s="18"/>
      <c r="G113" s="19"/>
      <c r="H113" s="19"/>
      <c r="I113" s="49"/>
      <c r="J113" s="44">
        <f>IF(AND(G113&lt;&gt;"",I113&lt;&gt;""),G113*I113,0)</f>
      </c>
      <c r="K113" s="19"/>
      <c r="L113" s="49"/>
      <c r="M113" s="49"/>
      <c r="N113" s="19"/>
      <c r="O113" s="19"/>
      <c r="P113" s="19"/>
      <c r="Q113" s="45"/>
      <c r="R113" s="46">
        <f>IF(J113&gt;0,Q113/J113,0)</f>
      </c>
      <c r="S113" s="47">
        <f>IF(J113&gt;0,J113-Q113,0)</f>
      </c>
      <c r="T113" s="19"/>
      <c r="U113" s="18"/>
    </row>
    <row r="114" ht="20" customHeight="1" spans="1:21" x14ac:dyDescent="0.25">
      <c r="A114" s="15">
        <v>109</v>
      </c>
      <c r="B114" s="42"/>
      <c r="C114" s="14"/>
      <c r="D114" s="14"/>
      <c r="E114" s="14"/>
      <c r="F114" s="14"/>
      <c r="G114" s="15"/>
      <c r="H114" s="15"/>
      <c r="I114" s="43"/>
      <c r="J114" s="44">
        <f>IF(AND(G114&lt;&gt;"",I114&lt;&gt;""),G114*I114,0)</f>
      </c>
      <c r="K114" s="15"/>
      <c r="L114" s="43"/>
      <c r="M114" s="43"/>
      <c r="N114" s="15"/>
      <c r="O114" s="15"/>
      <c r="P114" s="15"/>
      <c r="Q114" s="45"/>
      <c r="R114" s="46">
        <f>IF(J114&gt;0,Q114/J114,0)</f>
      </c>
      <c r="S114" s="47">
        <f>IF(J114&gt;0,J114-Q114,0)</f>
      </c>
      <c r="T114" s="15"/>
      <c r="U114" s="14"/>
    </row>
    <row r="115" ht="20" customHeight="1" spans="1:21" x14ac:dyDescent="0.25">
      <c r="A115" s="19">
        <v>110</v>
      </c>
      <c r="B115" s="48"/>
      <c r="C115" s="18"/>
      <c r="D115" s="18"/>
      <c r="E115" s="18"/>
      <c r="F115" s="18"/>
      <c r="G115" s="19"/>
      <c r="H115" s="19"/>
      <c r="I115" s="49"/>
      <c r="J115" s="44">
        <f>IF(AND(G115&lt;&gt;"",I115&lt;&gt;""),G115*I115,0)</f>
      </c>
      <c r="K115" s="19"/>
      <c r="L115" s="49"/>
      <c r="M115" s="49"/>
      <c r="N115" s="19"/>
      <c r="O115" s="19"/>
      <c r="P115" s="19"/>
      <c r="Q115" s="45"/>
      <c r="R115" s="46">
        <f>IF(J115&gt;0,Q115/J115,0)</f>
      </c>
      <c r="S115" s="47">
        <f>IF(J115&gt;0,J115-Q115,0)</f>
      </c>
      <c r="T115" s="19"/>
      <c r="U115" s="18"/>
    </row>
    <row r="116" ht="20" customHeight="1" spans="1:21" x14ac:dyDescent="0.25">
      <c r="A116" s="15">
        <v>111</v>
      </c>
      <c r="B116" s="42"/>
      <c r="C116" s="14"/>
      <c r="D116" s="14"/>
      <c r="E116" s="14"/>
      <c r="F116" s="14"/>
      <c r="G116" s="15"/>
      <c r="H116" s="15"/>
      <c r="I116" s="43"/>
      <c r="J116" s="44">
        <f>IF(AND(G116&lt;&gt;"",I116&lt;&gt;""),G116*I116,0)</f>
      </c>
      <c r="K116" s="15"/>
      <c r="L116" s="43"/>
      <c r="M116" s="43"/>
      <c r="N116" s="15"/>
      <c r="O116" s="15"/>
      <c r="P116" s="15"/>
      <c r="Q116" s="45"/>
      <c r="R116" s="46">
        <f>IF(J116&gt;0,Q116/J116,0)</f>
      </c>
      <c r="S116" s="47">
        <f>IF(J116&gt;0,J116-Q116,0)</f>
      </c>
      <c r="T116" s="15"/>
      <c r="U116" s="14"/>
    </row>
    <row r="117" ht="20" customHeight="1" spans="1:21" x14ac:dyDescent="0.25">
      <c r="A117" s="19">
        <v>112</v>
      </c>
      <c r="B117" s="48"/>
      <c r="C117" s="18"/>
      <c r="D117" s="18"/>
      <c r="E117" s="18"/>
      <c r="F117" s="18"/>
      <c r="G117" s="19"/>
      <c r="H117" s="19"/>
      <c r="I117" s="49"/>
      <c r="J117" s="44">
        <f>IF(AND(G117&lt;&gt;"",I117&lt;&gt;""),G117*I117,0)</f>
      </c>
      <c r="K117" s="19"/>
      <c r="L117" s="49"/>
      <c r="M117" s="49"/>
      <c r="N117" s="19"/>
      <c r="O117" s="19"/>
      <c r="P117" s="19"/>
      <c r="Q117" s="45"/>
      <c r="R117" s="46">
        <f>IF(J117&gt;0,Q117/J117,0)</f>
      </c>
      <c r="S117" s="47">
        <f>IF(J117&gt;0,J117-Q117,0)</f>
      </c>
      <c r="T117" s="19"/>
      <c r="U117" s="18"/>
    </row>
    <row r="118" ht="20" customHeight="1" spans="1:21" x14ac:dyDescent="0.25">
      <c r="A118" s="15">
        <v>113</v>
      </c>
      <c r="B118" s="42"/>
      <c r="C118" s="14"/>
      <c r="D118" s="14"/>
      <c r="E118" s="14"/>
      <c r="F118" s="14"/>
      <c r="G118" s="15"/>
      <c r="H118" s="15"/>
      <c r="I118" s="43"/>
      <c r="J118" s="44">
        <f>IF(AND(G118&lt;&gt;"",I118&lt;&gt;""),G118*I118,0)</f>
      </c>
      <c r="K118" s="15"/>
      <c r="L118" s="43"/>
      <c r="M118" s="43"/>
      <c r="N118" s="15"/>
      <c r="O118" s="15"/>
      <c r="P118" s="15"/>
      <c r="Q118" s="45"/>
      <c r="R118" s="46">
        <f>IF(J118&gt;0,Q118/J118,0)</f>
      </c>
      <c r="S118" s="47">
        <f>IF(J118&gt;0,J118-Q118,0)</f>
      </c>
      <c r="T118" s="15"/>
      <c r="U118" s="14"/>
    </row>
    <row r="119" ht="20" customHeight="1" spans="1:21" x14ac:dyDescent="0.25">
      <c r="A119" s="19">
        <v>114</v>
      </c>
      <c r="B119" s="48"/>
      <c r="C119" s="18"/>
      <c r="D119" s="18"/>
      <c r="E119" s="18"/>
      <c r="F119" s="18"/>
      <c r="G119" s="19"/>
      <c r="H119" s="19"/>
      <c r="I119" s="49"/>
      <c r="J119" s="44">
        <f>IF(AND(G119&lt;&gt;"",I119&lt;&gt;""),G119*I119,0)</f>
      </c>
      <c r="K119" s="19"/>
      <c r="L119" s="49"/>
      <c r="M119" s="49"/>
      <c r="N119" s="19"/>
      <c r="O119" s="19"/>
      <c r="P119" s="19"/>
      <c r="Q119" s="45"/>
      <c r="R119" s="46">
        <f>IF(J119&gt;0,Q119/J119,0)</f>
      </c>
      <c r="S119" s="47">
        <f>IF(J119&gt;0,J119-Q119,0)</f>
      </c>
      <c r="T119" s="19"/>
      <c r="U119" s="18"/>
    </row>
    <row r="120" ht="20" customHeight="1" spans="1:21" x14ac:dyDescent="0.25">
      <c r="A120" s="15">
        <v>115</v>
      </c>
      <c r="B120" s="42"/>
      <c r="C120" s="14"/>
      <c r="D120" s="14"/>
      <c r="E120" s="14"/>
      <c r="F120" s="14"/>
      <c r="G120" s="15"/>
      <c r="H120" s="15"/>
      <c r="I120" s="43"/>
      <c r="J120" s="44">
        <f>IF(AND(G120&lt;&gt;"",I120&lt;&gt;""),G120*I120,0)</f>
      </c>
      <c r="K120" s="15"/>
      <c r="L120" s="43"/>
      <c r="M120" s="43"/>
      <c r="N120" s="15"/>
      <c r="O120" s="15"/>
      <c r="P120" s="15"/>
      <c r="Q120" s="45"/>
      <c r="R120" s="46">
        <f>IF(J120&gt;0,Q120/J120,0)</f>
      </c>
      <c r="S120" s="47">
        <f>IF(J120&gt;0,J120-Q120,0)</f>
      </c>
      <c r="T120" s="15"/>
      <c r="U120" s="14"/>
    </row>
    <row r="121" ht="20" customHeight="1" spans="1:21" x14ac:dyDescent="0.25">
      <c r="A121" s="19">
        <v>116</v>
      </c>
      <c r="B121" s="48"/>
      <c r="C121" s="18"/>
      <c r="D121" s="18"/>
      <c r="E121" s="18"/>
      <c r="F121" s="18"/>
      <c r="G121" s="19"/>
      <c r="H121" s="19"/>
      <c r="I121" s="49"/>
      <c r="J121" s="44">
        <f>IF(AND(G121&lt;&gt;"",I121&lt;&gt;""),G121*I121,0)</f>
      </c>
      <c r="K121" s="19"/>
      <c r="L121" s="49"/>
      <c r="M121" s="49"/>
      <c r="N121" s="19"/>
      <c r="O121" s="19"/>
      <c r="P121" s="19"/>
      <c r="Q121" s="45"/>
      <c r="R121" s="46">
        <f>IF(J121&gt;0,Q121/J121,0)</f>
      </c>
      <c r="S121" s="47">
        <f>IF(J121&gt;0,J121-Q121,0)</f>
      </c>
      <c r="T121" s="19"/>
      <c r="U121" s="18"/>
    </row>
    <row r="122" ht="20" customHeight="1" spans="1:21" x14ac:dyDescent="0.25">
      <c r="A122" s="15">
        <v>117</v>
      </c>
      <c r="B122" s="42"/>
      <c r="C122" s="14"/>
      <c r="D122" s="14"/>
      <c r="E122" s="14"/>
      <c r="F122" s="14"/>
      <c r="G122" s="15"/>
      <c r="H122" s="15"/>
      <c r="I122" s="43"/>
      <c r="J122" s="44">
        <f>IF(AND(G122&lt;&gt;"",I122&lt;&gt;""),G122*I122,0)</f>
      </c>
      <c r="K122" s="15"/>
      <c r="L122" s="43"/>
      <c r="M122" s="43"/>
      <c r="N122" s="15"/>
      <c r="O122" s="15"/>
      <c r="P122" s="15"/>
      <c r="Q122" s="45"/>
      <c r="R122" s="46">
        <f>IF(J122&gt;0,Q122/J122,0)</f>
      </c>
      <c r="S122" s="47">
        <f>IF(J122&gt;0,J122-Q122,0)</f>
      </c>
      <c r="T122" s="15"/>
      <c r="U122" s="14"/>
    </row>
    <row r="123" ht="20" customHeight="1" spans="1:21" x14ac:dyDescent="0.25">
      <c r="A123" s="19">
        <v>118</v>
      </c>
      <c r="B123" s="48"/>
      <c r="C123" s="18"/>
      <c r="D123" s="18"/>
      <c r="E123" s="18"/>
      <c r="F123" s="18"/>
      <c r="G123" s="19"/>
      <c r="H123" s="19"/>
      <c r="I123" s="49"/>
      <c r="J123" s="44">
        <f>IF(AND(G123&lt;&gt;"",I123&lt;&gt;""),G123*I123,0)</f>
      </c>
      <c r="K123" s="19"/>
      <c r="L123" s="49"/>
      <c r="M123" s="49"/>
      <c r="N123" s="19"/>
      <c r="O123" s="19"/>
      <c r="P123" s="19"/>
      <c r="Q123" s="45"/>
      <c r="R123" s="46">
        <f>IF(J123&gt;0,Q123/J123,0)</f>
      </c>
      <c r="S123" s="47">
        <f>IF(J123&gt;0,J123-Q123,0)</f>
      </c>
      <c r="T123" s="19"/>
      <c r="U123" s="18"/>
    </row>
    <row r="124" ht="20" customHeight="1" spans="1:21" x14ac:dyDescent="0.25">
      <c r="A124" s="15">
        <v>119</v>
      </c>
      <c r="B124" s="42"/>
      <c r="C124" s="14"/>
      <c r="D124" s="14"/>
      <c r="E124" s="14"/>
      <c r="F124" s="14"/>
      <c r="G124" s="15"/>
      <c r="H124" s="15"/>
      <c r="I124" s="43"/>
      <c r="J124" s="44">
        <f>IF(AND(G124&lt;&gt;"",I124&lt;&gt;""),G124*I124,0)</f>
      </c>
      <c r="K124" s="15"/>
      <c r="L124" s="43"/>
      <c r="M124" s="43"/>
      <c r="N124" s="15"/>
      <c r="O124" s="15"/>
      <c r="P124" s="15"/>
      <c r="Q124" s="45"/>
      <c r="R124" s="46">
        <f>IF(J124&gt;0,Q124/J124,0)</f>
      </c>
      <c r="S124" s="47">
        <f>IF(J124&gt;0,J124-Q124,0)</f>
      </c>
      <c r="T124" s="15"/>
      <c r="U124" s="14"/>
    </row>
    <row r="125" ht="20" customHeight="1" spans="1:21" x14ac:dyDescent="0.25">
      <c r="A125" s="19">
        <v>120</v>
      </c>
      <c r="B125" s="48"/>
      <c r="C125" s="18"/>
      <c r="D125" s="18"/>
      <c r="E125" s="18"/>
      <c r="F125" s="18"/>
      <c r="G125" s="19"/>
      <c r="H125" s="19"/>
      <c r="I125" s="49"/>
      <c r="J125" s="44">
        <f>IF(AND(G125&lt;&gt;"",I125&lt;&gt;""),G125*I125,0)</f>
      </c>
      <c r="K125" s="19"/>
      <c r="L125" s="49"/>
      <c r="M125" s="49"/>
      <c r="N125" s="19"/>
      <c r="O125" s="19"/>
      <c r="P125" s="19"/>
      <c r="Q125" s="45"/>
      <c r="R125" s="46">
        <f>IF(J125&gt;0,Q125/J125,0)</f>
      </c>
      <c r="S125" s="47">
        <f>IF(J125&gt;0,J125-Q125,0)</f>
      </c>
      <c r="T125" s="19"/>
      <c r="U125" s="18"/>
    </row>
    <row r="126" ht="20" customHeight="1" spans="1:21" x14ac:dyDescent="0.25">
      <c r="A126" s="15">
        <v>121</v>
      </c>
      <c r="B126" s="42"/>
      <c r="C126" s="14"/>
      <c r="D126" s="14"/>
      <c r="E126" s="14"/>
      <c r="F126" s="14"/>
      <c r="G126" s="15"/>
      <c r="H126" s="15"/>
      <c r="I126" s="43"/>
      <c r="J126" s="44">
        <f>IF(AND(G126&lt;&gt;"",I126&lt;&gt;""),G126*I126,0)</f>
      </c>
      <c r="K126" s="15"/>
      <c r="L126" s="43"/>
      <c r="M126" s="43"/>
      <c r="N126" s="15"/>
      <c r="O126" s="15"/>
      <c r="P126" s="15"/>
      <c r="Q126" s="45"/>
      <c r="R126" s="46">
        <f>IF(J126&gt;0,Q126/J126,0)</f>
      </c>
      <c r="S126" s="47">
        <f>IF(J126&gt;0,J126-Q126,0)</f>
      </c>
      <c r="T126" s="15"/>
      <c r="U126" s="14"/>
    </row>
    <row r="127" ht="20" customHeight="1" spans="1:21" x14ac:dyDescent="0.25">
      <c r="A127" s="19">
        <v>122</v>
      </c>
      <c r="B127" s="48"/>
      <c r="C127" s="18"/>
      <c r="D127" s="18"/>
      <c r="E127" s="18"/>
      <c r="F127" s="18"/>
      <c r="G127" s="19"/>
      <c r="H127" s="19"/>
      <c r="I127" s="49"/>
      <c r="J127" s="44">
        <f>IF(AND(G127&lt;&gt;"",I127&lt;&gt;""),G127*I127,0)</f>
      </c>
      <c r="K127" s="19"/>
      <c r="L127" s="49"/>
      <c r="M127" s="49"/>
      <c r="N127" s="19"/>
      <c r="O127" s="19"/>
      <c r="P127" s="19"/>
      <c r="Q127" s="45"/>
      <c r="R127" s="46">
        <f>IF(J127&gt;0,Q127/J127,0)</f>
      </c>
      <c r="S127" s="47">
        <f>IF(J127&gt;0,J127-Q127,0)</f>
      </c>
      <c r="T127" s="19"/>
      <c r="U127" s="18"/>
    </row>
    <row r="128" ht="20" customHeight="1" spans="1:21" x14ac:dyDescent="0.25">
      <c r="A128" s="15">
        <v>123</v>
      </c>
      <c r="B128" s="42"/>
      <c r="C128" s="14"/>
      <c r="D128" s="14"/>
      <c r="E128" s="14"/>
      <c r="F128" s="14"/>
      <c r="G128" s="15"/>
      <c r="H128" s="15"/>
      <c r="I128" s="43"/>
      <c r="J128" s="44">
        <f>IF(AND(G128&lt;&gt;"",I128&lt;&gt;""),G128*I128,0)</f>
      </c>
      <c r="K128" s="15"/>
      <c r="L128" s="43"/>
      <c r="M128" s="43"/>
      <c r="N128" s="15"/>
      <c r="O128" s="15"/>
      <c r="P128" s="15"/>
      <c r="Q128" s="45"/>
      <c r="R128" s="46">
        <f>IF(J128&gt;0,Q128/J128,0)</f>
      </c>
      <c r="S128" s="47">
        <f>IF(J128&gt;0,J128-Q128,0)</f>
      </c>
      <c r="T128" s="15"/>
      <c r="U128" s="14"/>
    </row>
    <row r="129" ht="20" customHeight="1" spans="1:21" x14ac:dyDescent="0.25">
      <c r="A129" s="19">
        <v>124</v>
      </c>
      <c r="B129" s="48"/>
      <c r="C129" s="18"/>
      <c r="D129" s="18"/>
      <c r="E129" s="18"/>
      <c r="F129" s="18"/>
      <c r="G129" s="19"/>
      <c r="H129" s="19"/>
      <c r="I129" s="49"/>
      <c r="J129" s="44">
        <f>IF(AND(G129&lt;&gt;"",I129&lt;&gt;""),G129*I129,0)</f>
      </c>
      <c r="K129" s="19"/>
      <c r="L129" s="49"/>
      <c r="M129" s="49"/>
      <c r="N129" s="19"/>
      <c r="O129" s="19"/>
      <c r="P129" s="19"/>
      <c r="Q129" s="45"/>
      <c r="R129" s="46">
        <f>IF(J129&gt;0,Q129/J129,0)</f>
      </c>
      <c r="S129" s="47">
        <f>IF(J129&gt;0,J129-Q129,0)</f>
      </c>
      <c r="T129" s="19"/>
      <c r="U129" s="18"/>
    </row>
    <row r="130" ht="20" customHeight="1" spans="1:21" x14ac:dyDescent="0.25">
      <c r="A130" s="15">
        <v>125</v>
      </c>
      <c r="B130" s="42"/>
      <c r="C130" s="14"/>
      <c r="D130" s="14"/>
      <c r="E130" s="14"/>
      <c r="F130" s="14"/>
      <c r="G130" s="15"/>
      <c r="H130" s="15"/>
      <c r="I130" s="43"/>
      <c r="J130" s="44">
        <f>IF(AND(G130&lt;&gt;"",I130&lt;&gt;""),G130*I130,0)</f>
      </c>
      <c r="K130" s="15"/>
      <c r="L130" s="43"/>
      <c r="M130" s="43"/>
      <c r="N130" s="15"/>
      <c r="O130" s="15"/>
      <c r="P130" s="15"/>
      <c r="Q130" s="45"/>
      <c r="R130" s="46">
        <f>IF(J130&gt;0,Q130/J130,0)</f>
      </c>
      <c r="S130" s="47">
        <f>IF(J130&gt;0,J130-Q130,0)</f>
      </c>
      <c r="T130" s="15"/>
      <c r="U130" s="14"/>
    </row>
    <row r="131" ht="20" customHeight="1" spans="1:21" x14ac:dyDescent="0.25">
      <c r="A131" s="19">
        <v>126</v>
      </c>
      <c r="B131" s="48"/>
      <c r="C131" s="18"/>
      <c r="D131" s="18"/>
      <c r="E131" s="18"/>
      <c r="F131" s="18"/>
      <c r="G131" s="19"/>
      <c r="H131" s="19"/>
      <c r="I131" s="49"/>
      <c r="J131" s="44">
        <f>IF(AND(G131&lt;&gt;"",I131&lt;&gt;""),G131*I131,0)</f>
      </c>
      <c r="K131" s="19"/>
      <c r="L131" s="49"/>
      <c r="M131" s="49"/>
      <c r="N131" s="19"/>
      <c r="O131" s="19"/>
      <c r="P131" s="19"/>
      <c r="Q131" s="45"/>
      <c r="R131" s="46">
        <f>IF(J131&gt;0,Q131/J131,0)</f>
      </c>
      <c r="S131" s="47">
        <f>IF(J131&gt;0,J131-Q131,0)</f>
      </c>
      <c r="T131" s="19"/>
      <c r="U131" s="18"/>
    </row>
    <row r="132" ht="20" customHeight="1" spans="1:21" x14ac:dyDescent="0.25">
      <c r="A132" s="15">
        <v>127</v>
      </c>
      <c r="B132" s="42"/>
      <c r="C132" s="14"/>
      <c r="D132" s="14"/>
      <c r="E132" s="14"/>
      <c r="F132" s="14"/>
      <c r="G132" s="15"/>
      <c r="H132" s="15"/>
      <c r="I132" s="43"/>
      <c r="J132" s="44">
        <f>IF(AND(G132&lt;&gt;"",I132&lt;&gt;""),G132*I132,0)</f>
      </c>
      <c r="K132" s="15"/>
      <c r="L132" s="43"/>
      <c r="M132" s="43"/>
      <c r="N132" s="15"/>
      <c r="O132" s="15"/>
      <c r="P132" s="15"/>
      <c r="Q132" s="45"/>
      <c r="R132" s="46">
        <f>IF(J132&gt;0,Q132/J132,0)</f>
      </c>
      <c r="S132" s="47">
        <f>IF(J132&gt;0,J132-Q132,0)</f>
      </c>
      <c r="T132" s="15"/>
      <c r="U132" s="14"/>
    </row>
    <row r="133" ht="20" customHeight="1" spans="1:21" x14ac:dyDescent="0.25">
      <c r="A133" s="19">
        <v>128</v>
      </c>
      <c r="B133" s="48"/>
      <c r="C133" s="18"/>
      <c r="D133" s="18"/>
      <c r="E133" s="18"/>
      <c r="F133" s="18"/>
      <c r="G133" s="19"/>
      <c r="H133" s="19"/>
      <c r="I133" s="49"/>
      <c r="J133" s="44">
        <f>IF(AND(G133&lt;&gt;"",I133&lt;&gt;""),G133*I133,0)</f>
      </c>
      <c r="K133" s="19"/>
      <c r="L133" s="49"/>
      <c r="M133" s="49"/>
      <c r="N133" s="19"/>
      <c r="O133" s="19"/>
      <c r="P133" s="19"/>
      <c r="Q133" s="45"/>
      <c r="R133" s="46">
        <f>IF(J133&gt;0,Q133/J133,0)</f>
      </c>
      <c r="S133" s="47">
        <f>IF(J133&gt;0,J133-Q133,0)</f>
      </c>
      <c r="T133" s="19"/>
      <c r="U133" s="18"/>
    </row>
    <row r="134" ht="20" customHeight="1" spans="1:21" x14ac:dyDescent="0.25">
      <c r="A134" s="15">
        <v>129</v>
      </c>
      <c r="B134" s="42"/>
      <c r="C134" s="14"/>
      <c r="D134" s="14"/>
      <c r="E134" s="14"/>
      <c r="F134" s="14"/>
      <c r="G134" s="15"/>
      <c r="H134" s="15"/>
      <c r="I134" s="43"/>
      <c r="J134" s="44">
        <f>IF(AND(G134&lt;&gt;"",I134&lt;&gt;""),G134*I134,0)</f>
      </c>
      <c r="K134" s="15"/>
      <c r="L134" s="43"/>
      <c r="M134" s="43"/>
      <c r="N134" s="15"/>
      <c r="O134" s="15"/>
      <c r="P134" s="15"/>
      <c r="Q134" s="45"/>
      <c r="R134" s="46">
        <f>IF(J134&gt;0,Q134/J134,0)</f>
      </c>
      <c r="S134" s="47">
        <f>IF(J134&gt;0,J134-Q134,0)</f>
      </c>
      <c r="T134" s="15"/>
      <c r="U134" s="14"/>
    </row>
    <row r="135" ht="20" customHeight="1" spans="1:21" x14ac:dyDescent="0.25">
      <c r="A135" s="19">
        <v>130</v>
      </c>
      <c r="B135" s="48"/>
      <c r="C135" s="18"/>
      <c r="D135" s="18"/>
      <c r="E135" s="18"/>
      <c r="F135" s="18"/>
      <c r="G135" s="19"/>
      <c r="H135" s="19"/>
      <c r="I135" s="49"/>
      <c r="J135" s="44">
        <f>IF(AND(G135&lt;&gt;"",I135&lt;&gt;""),G135*I135,0)</f>
      </c>
      <c r="K135" s="19"/>
      <c r="L135" s="49"/>
      <c r="M135" s="49"/>
      <c r="N135" s="19"/>
      <c r="O135" s="19"/>
      <c r="P135" s="19"/>
      <c r="Q135" s="45"/>
      <c r="R135" s="46">
        <f>IF(J135&gt;0,Q135/J135,0)</f>
      </c>
      <c r="S135" s="47">
        <f>IF(J135&gt;0,J135-Q135,0)</f>
      </c>
      <c r="T135" s="19"/>
      <c r="U135" s="18"/>
    </row>
    <row r="136" ht="20" customHeight="1" spans="1:21" x14ac:dyDescent="0.25">
      <c r="A136" s="15">
        <v>131</v>
      </c>
      <c r="B136" s="42"/>
      <c r="C136" s="14"/>
      <c r="D136" s="14"/>
      <c r="E136" s="14"/>
      <c r="F136" s="14"/>
      <c r="G136" s="15"/>
      <c r="H136" s="15"/>
      <c r="I136" s="43"/>
      <c r="J136" s="44">
        <f>IF(AND(G136&lt;&gt;"",I136&lt;&gt;""),G136*I136,0)</f>
      </c>
      <c r="K136" s="15"/>
      <c r="L136" s="43"/>
      <c r="M136" s="43"/>
      <c r="N136" s="15"/>
      <c r="O136" s="15"/>
      <c r="P136" s="15"/>
      <c r="Q136" s="45"/>
      <c r="R136" s="46">
        <f>IF(J136&gt;0,Q136/J136,0)</f>
      </c>
      <c r="S136" s="47">
        <f>IF(J136&gt;0,J136-Q136,0)</f>
      </c>
      <c r="T136" s="15"/>
      <c r="U136" s="14"/>
    </row>
    <row r="137" ht="20" customHeight="1" spans="1:21" x14ac:dyDescent="0.25">
      <c r="A137" s="19">
        <v>132</v>
      </c>
      <c r="B137" s="48"/>
      <c r="C137" s="18"/>
      <c r="D137" s="18"/>
      <c r="E137" s="18"/>
      <c r="F137" s="18"/>
      <c r="G137" s="19"/>
      <c r="H137" s="19"/>
      <c r="I137" s="49"/>
      <c r="J137" s="44">
        <f>IF(AND(G137&lt;&gt;"",I137&lt;&gt;""),G137*I137,0)</f>
      </c>
      <c r="K137" s="19"/>
      <c r="L137" s="49"/>
      <c r="M137" s="49"/>
      <c r="N137" s="19"/>
      <c r="O137" s="19"/>
      <c r="P137" s="19"/>
      <c r="Q137" s="45"/>
      <c r="R137" s="46">
        <f>IF(J137&gt;0,Q137/J137,0)</f>
      </c>
      <c r="S137" s="47">
        <f>IF(J137&gt;0,J137-Q137,0)</f>
      </c>
      <c r="T137" s="19"/>
      <c r="U137" s="18"/>
    </row>
    <row r="138" ht="20" customHeight="1" spans="1:21" x14ac:dyDescent="0.25">
      <c r="A138" s="15">
        <v>133</v>
      </c>
      <c r="B138" s="42"/>
      <c r="C138" s="14"/>
      <c r="D138" s="14"/>
      <c r="E138" s="14"/>
      <c r="F138" s="14"/>
      <c r="G138" s="15"/>
      <c r="H138" s="15"/>
      <c r="I138" s="43"/>
      <c r="J138" s="44">
        <f>IF(AND(G138&lt;&gt;"",I138&lt;&gt;""),G138*I138,0)</f>
      </c>
      <c r="K138" s="15"/>
      <c r="L138" s="43"/>
      <c r="M138" s="43"/>
      <c r="N138" s="15"/>
      <c r="O138" s="15"/>
      <c r="P138" s="15"/>
      <c r="Q138" s="45"/>
      <c r="R138" s="46">
        <f>IF(J138&gt;0,Q138/J138,0)</f>
      </c>
      <c r="S138" s="47">
        <f>IF(J138&gt;0,J138-Q138,0)</f>
      </c>
      <c r="T138" s="15"/>
      <c r="U138" s="14"/>
    </row>
    <row r="139" ht="20" customHeight="1" spans="1:21" x14ac:dyDescent="0.25">
      <c r="A139" s="19">
        <v>134</v>
      </c>
      <c r="B139" s="48"/>
      <c r="C139" s="18"/>
      <c r="D139" s="18"/>
      <c r="E139" s="18"/>
      <c r="F139" s="18"/>
      <c r="G139" s="19"/>
      <c r="H139" s="19"/>
      <c r="I139" s="49"/>
      <c r="J139" s="44">
        <f>IF(AND(G139&lt;&gt;"",I139&lt;&gt;""),G139*I139,0)</f>
      </c>
      <c r="K139" s="19"/>
      <c r="L139" s="49"/>
      <c r="M139" s="49"/>
      <c r="N139" s="19"/>
      <c r="O139" s="19"/>
      <c r="P139" s="19"/>
      <c r="Q139" s="45"/>
      <c r="R139" s="46">
        <f>IF(J139&gt;0,Q139/J139,0)</f>
      </c>
      <c r="S139" s="47">
        <f>IF(J139&gt;0,J139-Q139,0)</f>
      </c>
      <c r="T139" s="19"/>
      <c r="U139" s="18"/>
    </row>
    <row r="140" ht="20" customHeight="1" spans="1:21" x14ac:dyDescent="0.25">
      <c r="A140" s="15">
        <v>135</v>
      </c>
      <c r="B140" s="42"/>
      <c r="C140" s="14"/>
      <c r="D140" s="14"/>
      <c r="E140" s="14"/>
      <c r="F140" s="14"/>
      <c r="G140" s="15"/>
      <c r="H140" s="15"/>
      <c r="I140" s="43"/>
      <c r="J140" s="44">
        <f>IF(AND(G140&lt;&gt;"",I140&lt;&gt;""),G140*I140,0)</f>
      </c>
      <c r="K140" s="15"/>
      <c r="L140" s="43"/>
      <c r="M140" s="43"/>
      <c r="N140" s="15"/>
      <c r="O140" s="15"/>
      <c r="P140" s="15"/>
      <c r="Q140" s="45"/>
      <c r="R140" s="46">
        <f>IF(J140&gt;0,Q140/J140,0)</f>
      </c>
      <c r="S140" s="47">
        <f>IF(J140&gt;0,J140-Q140,0)</f>
      </c>
      <c r="T140" s="15"/>
      <c r="U140" s="14"/>
    </row>
    <row r="141" ht="20" customHeight="1" spans="1:21" x14ac:dyDescent="0.25">
      <c r="A141" s="19">
        <v>136</v>
      </c>
      <c r="B141" s="48"/>
      <c r="C141" s="18"/>
      <c r="D141" s="18"/>
      <c r="E141" s="18"/>
      <c r="F141" s="18"/>
      <c r="G141" s="19"/>
      <c r="H141" s="19"/>
      <c r="I141" s="49"/>
      <c r="J141" s="44">
        <f>IF(AND(G141&lt;&gt;"",I141&lt;&gt;""),G141*I141,0)</f>
      </c>
      <c r="K141" s="19"/>
      <c r="L141" s="49"/>
      <c r="M141" s="49"/>
      <c r="N141" s="19"/>
      <c r="O141" s="19"/>
      <c r="P141" s="19"/>
      <c r="Q141" s="45"/>
      <c r="R141" s="46">
        <f>IF(J141&gt;0,Q141/J141,0)</f>
      </c>
      <c r="S141" s="47">
        <f>IF(J141&gt;0,J141-Q141,0)</f>
      </c>
      <c r="T141" s="19"/>
      <c r="U141" s="18"/>
    </row>
    <row r="142" ht="20" customHeight="1" spans="1:21" x14ac:dyDescent="0.25">
      <c r="A142" s="15">
        <v>137</v>
      </c>
      <c r="B142" s="42"/>
      <c r="C142" s="14"/>
      <c r="D142" s="14"/>
      <c r="E142" s="14"/>
      <c r="F142" s="14"/>
      <c r="G142" s="15"/>
      <c r="H142" s="15"/>
      <c r="I142" s="43"/>
      <c r="J142" s="44">
        <f>IF(AND(G142&lt;&gt;"",I142&lt;&gt;""),G142*I142,0)</f>
      </c>
      <c r="K142" s="15"/>
      <c r="L142" s="43"/>
      <c r="M142" s="43"/>
      <c r="N142" s="15"/>
      <c r="O142" s="15"/>
      <c r="P142" s="15"/>
      <c r="Q142" s="45"/>
      <c r="R142" s="46">
        <f>IF(J142&gt;0,Q142/J142,0)</f>
      </c>
      <c r="S142" s="47">
        <f>IF(J142&gt;0,J142-Q142,0)</f>
      </c>
      <c r="T142" s="15"/>
      <c r="U142" s="14"/>
    </row>
    <row r="143" ht="20" customHeight="1" spans="1:21" x14ac:dyDescent="0.25">
      <c r="A143" s="19">
        <v>138</v>
      </c>
      <c r="B143" s="48"/>
      <c r="C143" s="18"/>
      <c r="D143" s="18"/>
      <c r="E143" s="18"/>
      <c r="F143" s="18"/>
      <c r="G143" s="19"/>
      <c r="H143" s="19"/>
      <c r="I143" s="49"/>
      <c r="J143" s="44">
        <f>IF(AND(G143&lt;&gt;"",I143&lt;&gt;""),G143*I143,0)</f>
      </c>
      <c r="K143" s="19"/>
      <c r="L143" s="49"/>
      <c r="M143" s="49"/>
      <c r="N143" s="19"/>
      <c r="O143" s="19"/>
      <c r="P143" s="19"/>
      <c r="Q143" s="45"/>
      <c r="R143" s="46">
        <f>IF(J143&gt;0,Q143/J143,0)</f>
      </c>
      <c r="S143" s="47">
        <f>IF(J143&gt;0,J143-Q143,0)</f>
      </c>
      <c r="T143" s="19"/>
      <c r="U143" s="18"/>
    </row>
    <row r="144" ht="20" customHeight="1" spans="1:21" x14ac:dyDescent="0.25">
      <c r="A144" s="15">
        <v>139</v>
      </c>
      <c r="B144" s="42"/>
      <c r="C144" s="14"/>
      <c r="D144" s="14"/>
      <c r="E144" s="14"/>
      <c r="F144" s="14"/>
      <c r="G144" s="15"/>
      <c r="H144" s="15"/>
      <c r="I144" s="43"/>
      <c r="J144" s="44">
        <f>IF(AND(G144&lt;&gt;"",I144&lt;&gt;""),G144*I144,0)</f>
      </c>
      <c r="K144" s="15"/>
      <c r="L144" s="43"/>
      <c r="M144" s="43"/>
      <c r="N144" s="15"/>
      <c r="O144" s="15"/>
      <c r="P144" s="15"/>
      <c r="Q144" s="45"/>
      <c r="R144" s="46">
        <f>IF(J144&gt;0,Q144/J144,0)</f>
      </c>
      <c r="S144" s="47">
        <f>IF(J144&gt;0,J144-Q144,0)</f>
      </c>
      <c r="T144" s="15"/>
      <c r="U144" s="14"/>
    </row>
    <row r="145" ht="20" customHeight="1" spans="1:21" x14ac:dyDescent="0.25">
      <c r="A145" s="19">
        <v>140</v>
      </c>
      <c r="B145" s="48"/>
      <c r="C145" s="18"/>
      <c r="D145" s="18"/>
      <c r="E145" s="18"/>
      <c r="F145" s="18"/>
      <c r="G145" s="19"/>
      <c r="H145" s="19"/>
      <c r="I145" s="49"/>
      <c r="J145" s="44">
        <f>IF(AND(G145&lt;&gt;"",I145&lt;&gt;""),G145*I145,0)</f>
      </c>
      <c r="K145" s="19"/>
      <c r="L145" s="49"/>
      <c r="M145" s="49"/>
      <c r="N145" s="19"/>
      <c r="O145" s="19"/>
      <c r="P145" s="19"/>
      <c r="Q145" s="45"/>
      <c r="R145" s="46">
        <f>IF(J145&gt;0,Q145/J145,0)</f>
      </c>
      <c r="S145" s="47">
        <f>IF(J145&gt;0,J145-Q145,0)</f>
      </c>
      <c r="T145" s="19"/>
      <c r="U145" s="18"/>
    </row>
    <row r="146" ht="20" customHeight="1" spans="1:21" x14ac:dyDescent="0.25">
      <c r="A146" s="15">
        <v>141</v>
      </c>
      <c r="B146" s="42"/>
      <c r="C146" s="14"/>
      <c r="D146" s="14"/>
      <c r="E146" s="14"/>
      <c r="F146" s="14"/>
      <c r="G146" s="15"/>
      <c r="H146" s="15"/>
      <c r="I146" s="43"/>
      <c r="J146" s="44">
        <f>IF(AND(G146&lt;&gt;"",I146&lt;&gt;""),G146*I146,0)</f>
      </c>
      <c r="K146" s="15"/>
      <c r="L146" s="43"/>
      <c r="M146" s="43"/>
      <c r="N146" s="15"/>
      <c r="O146" s="15"/>
      <c r="P146" s="15"/>
      <c r="Q146" s="45"/>
      <c r="R146" s="46">
        <f>IF(J146&gt;0,Q146/J146,0)</f>
      </c>
      <c r="S146" s="47">
        <f>IF(J146&gt;0,J146-Q146,0)</f>
      </c>
      <c r="T146" s="15"/>
      <c r="U146" s="14"/>
    </row>
    <row r="147" ht="20" customHeight="1" spans="1:21" x14ac:dyDescent="0.25">
      <c r="A147" s="19">
        <v>142</v>
      </c>
      <c r="B147" s="48"/>
      <c r="C147" s="18"/>
      <c r="D147" s="18"/>
      <c r="E147" s="18"/>
      <c r="F147" s="18"/>
      <c r="G147" s="19"/>
      <c r="H147" s="19"/>
      <c r="I147" s="49"/>
      <c r="J147" s="44">
        <f>IF(AND(G147&lt;&gt;"",I147&lt;&gt;""),G147*I147,0)</f>
      </c>
      <c r="K147" s="19"/>
      <c r="L147" s="49"/>
      <c r="M147" s="49"/>
      <c r="N147" s="19"/>
      <c r="O147" s="19"/>
      <c r="P147" s="19"/>
      <c r="Q147" s="45"/>
      <c r="R147" s="46">
        <f>IF(J147&gt;0,Q147/J147,0)</f>
      </c>
      <c r="S147" s="47">
        <f>IF(J147&gt;0,J147-Q147,0)</f>
      </c>
      <c r="T147" s="19"/>
      <c r="U147" s="18"/>
    </row>
    <row r="148" ht="20" customHeight="1" spans="1:21" x14ac:dyDescent="0.25">
      <c r="A148" s="15">
        <v>143</v>
      </c>
      <c r="B148" s="42"/>
      <c r="C148" s="14"/>
      <c r="D148" s="14"/>
      <c r="E148" s="14"/>
      <c r="F148" s="14"/>
      <c r="G148" s="15"/>
      <c r="H148" s="15"/>
      <c r="I148" s="43"/>
      <c r="J148" s="44">
        <f>IF(AND(G148&lt;&gt;"",I148&lt;&gt;""),G148*I148,0)</f>
      </c>
      <c r="K148" s="15"/>
      <c r="L148" s="43"/>
      <c r="M148" s="43"/>
      <c r="N148" s="15"/>
      <c r="O148" s="15"/>
      <c r="P148" s="15"/>
      <c r="Q148" s="45"/>
      <c r="R148" s="46">
        <f>IF(J148&gt;0,Q148/J148,0)</f>
      </c>
      <c r="S148" s="47">
        <f>IF(J148&gt;0,J148-Q148,0)</f>
      </c>
      <c r="T148" s="15"/>
      <c r="U148" s="14"/>
    </row>
    <row r="149" ht="20" customHeight="1" spans="1:21" x14ac:dyDescent="0.25">
      <c r="A149" s="19">
        <v>144</v>
      </c>
      <c r="B149" s="48"/>
      <c r="C149" s="18"/>
      <c r="D149" s="18"/>
      <c r="E149" s="18"/>
      <c r="F149" s="18"/>
      <c r="G149" s="19"/>
      <c r="H149" s="19"/>
      <c r="I149" s="49"/>
      <c r="J149" s="44">
        <f>IF(AND(G149&lt;&gt;"",I149&lt;&gt;""),G149*I149,0)</f>
      </c>
      <c r="K149" s="19"/>
      <c r="L149" s="49"/>
      <c r="M149" s="49"/>
      <c r="N149" s="19"/>
      <c r="O149" s="19"/>
      <c r="P149" s="19"/>
      <c r="Q149" s="45"/>
      <c r="R149" s="46">
        <f>IF(J149&gt;0,Q149/J149,0)</f>
      </c>
      <c r="S149" s="47">
        <f>IF(J149&gt;0,J149-Q149,0)</f>
      </c>
      <c r="T149" s="19"/>
      <c r="U149" s="18"/>
    </row>
    <row r="150" ht="20" customHeight="1" spans="1:21" x14ac:dyDescent="0.25">
      <c r="A150" s="15">
        <v>145</v>
      </c>
      <c r="B150" s="42"/>
      <c r="C150" s="14"/>
      <c r="D150" s="14"/>
      <c r="E150" s="14"/>
      <c r="F150" s="14"/>
      <c r="G150" s="15"/>
      <c r="H150" s="15"/>
      <c r="I150" s="43"/>
      <c r="J150" s="44">
        <f>IF(AND(G150&lt;&gt;"",I150&lt;&gt;""),G150*I150,0)</f>
      </c>
      <c r="K150" s="15"/>
      <c r="L150" s="43"/>
      <c r="M150" s="43"/>
      <c r="N150" s="15"/>
      <c r="O150" s="15"/>
      <c r="P150" s="15"/>
      <c r="Q150" s="45"/>
      <c r="R150" s="46">
        <f>IF(J150&gt;0,Q150/J150,0)</f>
      </c>
      <c r="S150" s="47">
        <f>IF(J150&gt;0,J150-Q150,0)</f>
      </c>
      <c r="T150" s="15"/>
      <c r="U150" s="14"/>
    </row>
    <row r="151" ht="20" customHeight="1" spans="1:21" x14ac:dyDescent="0.25">
      <c r="A151" s="19">
        <v>146</v>
      </c>
      <c r="B151" s="48"/>
      <c r="C151" s="18"/>
      <c r="D151" s="18"/>
      <c r="E151" s="18"/>
      <c r="F151" s="18"/>
      <c r="G151" s="19"/>
      <c r="H151" s="19"/>
      <c r="I151" s="49"/>
      <c r="J151" s="44">
        <f>IF(AND(G151&lt;&gt;"",I151&lt;&gt;""),G151*I151,0)</f>
      </c>
      <c r="K151" s="19"/>
      <c r="L151" s="49"/>
      <c r="M151" s="49"/>
      <c r="N151" s="19"/>
      <c r="O151" s="19"/>
      <c r="P151" s="19"/>
      <c r="Q151" s="45"/>
      <c r="R151" s="46">
        <f>IF(J151&gt;0,Q151/J151,0)</f>
      </c>
      <c r="S151" s="47">
        <f>IF(J151&gt;0,J151-Q151,0)</f>
      </c>
      <c r="T151" s="19"/>
      <c r="U151" s="18"/>
    </row>
    <row r="152" ht="20" customHeight="1" spans="1:21" x14ac:dyDescent="0.25">
      <c r="A152" s="15">
        <v>147</v>
      </c>
      <c r="B152" s="42"/>
      <c r="C152" s="14"/>
      <c r="D152" s="14"/>
      <c r="E152" s="14"/>
      <c r="F152" s="14"/>
      <c r="G152" s="15"/>
      <c r="H152" s="15"/>
      <c r="I152" s="43"/>
      <c r="J152" s="44">
        <f>IF(AND(G152&lt;&gt;"",I152&lt;&gt;""),G152*I152,0)</f>
      </c>
      <c r="K152" s="15"/>
      <c r="L152" s="43"/>
      <c r="M152" s="43"/>
      <c r="N152" s="15"/>
      <c r="O152" s="15"/>
      <c r="P152" s="15"/>
      <c r="Q152" s="45"/>
      <c r="R152" s="46">
        <f>IF(J152&gt;0,Q152/J152,0)</f>
      </c>
      <c r="S152" s="47">
        <f>IF(J152&gt;0,J152-Q152,0)</f>
      </c>
      <c r="T152" s="15"/>
      <c r="U152" s="14"/>
    </row>
    <row r="153" ht="20" customHeight="1" spans="1:21" x14ac:dyDescent="0.25">
      <c r="A153" s="19">
        <v>148</v>
      </c>
      <c r="B153" s="48"/>
      <c r="C153" s="18"/>
      <c r="D153" s="18"/>
      <c r="E153" s="18"/>
      <c r="F153" s="18"/>
      <c r="G153" s="19"/>
      <c r="H153" s="19"/>
      <c r="I153" s="49"/>
      <c r="J153" s="44">
        <f>IF(AND(G153&lt;&gt;"",I153&lt;&gt;""),G153*I153,0)</f>
      </c>
      <c r="K153" s="19"/>
      <c r="L153" s="49"/>
      <c r="M153" s="49"/>
      <c r="N153" s="19"/>
      <c r="O153" s="19"/>
      <c r="P153" s="19"/>
      <c r="Q153" s="45"/>
      <c r="R153" s="46">
        <f>IF(J153&gt;0,Q153/J153,0)</f>
      </c>
      <c r="S153" s="47">
        <f>IF(J153&gt;0,J153-Q153,0)</f>
      </c>
      <c r="T153" s="19"/>
      <c r="U153" s="18"/>
    </row>
    <row r="154" ht="20" customHeight="1" spans="1:21" x14ac:dyDescent="0.25">
      <c r="A154" s="15">
        <v>149</v>
      </c>
      <c r="B154" s="42"/>
      <c r="C154" s="14"/>
      <c r="D154" s="14"/>
      <c r="E154" s="14"/>
      <c r="F154" s="14"/>
      <c r="G154" s="15"/>
      <c r="H154" s="15"/>
      <c r="I154" s="43"/>
      <c r="J154" s="44">
        <f>IF(AND(G154&lt;&gt;"",I154&lt;&gt;""),G154*I154,0)</f>
      </c>
      <c r="K154" s="15"/>
      <c r="L154" s="43"/>
      <c r="M154" s="43"/>
      <c r="N154" s="15"/>
      <c r="O154" s="15"/>
      <c r="P154" s="15"/>
      <c r="Q154" s="45"/>
      <c r="R154" s="46">
        <f>IF(J154&gt;0,Q154/J154,0)</f>
      </c>
      <c r="S154" s="47">
        <f>IF(J154&gt;0,J154-Q154,0)</f>
      </c>
      <c r="T154" s="15"/>
      <c r="U154" s="14"/>
    </row>
    <row r="155" ht="20" customHeight="1" spans="1:21" x14ac:dyDescent="0.25">
      <c r="A155" s="19">
        <v>150</v>
      </c>
      <c r="B155" s="48"/>
      <c r="C155" s="18"/>
      <c r="D155" s="18"/>
      <c r="E155" s="18"/>
      <c r="F155" s="18"/>
      <c r="G155" s="19"/>
      <c r="H155" s="19"/>
      <c r="I155" s="49"/>
      <c r="J155" s="44">
        <f>IF(AND(G155&lt;&gt;"",I155&lt;&gt;""),G155*I155,0)</f>
      </c>
      <c r="K155" s="19"/>
      <c r="L155" s="49"/>
      <c r="M155" s="49"/>
      <c r="N155" s="19"/>
      <c r="O155" s="19"/>
      <c r="P155" s="19"/>
      <c r="Q155" s="45"/>
      <c r="R155" s="46">
        <f>IF(J155&gt;0,Q155/J155,0)</f>
      </c>
      <c r="S155" s="47">
        <f>IF(J155&gt;0,J155-Q155,0)</f>
      </c>
      <c r="T155" s="19"/>
      <c r="U155" s="18"/>
    </row>
    <row r="156" ht="28" customHeight="1" spans="1:21" x14ac:dyDescent="0.25">
      <c r="A156" s="40" t="s">
        <v>320</v>
      </c>
      <c r="B156"/>
      <c r="C156"/>
      <c r="D156"/>
      <c r="E156"/>
      <c r="F156"/>
      <c r="G156"/>
      <c r="H156"/>
      <c r="I156"/>
      <c r="J156" s="50">
        <f>SUM(J6:J155)</f>
      </c>
      <c r="K156" s="40"/>
      <c r="L156" s="50">
        <f>SUM(L6:L155)</f>
      </c>
      <c r="M156" s="50">
        <f>SUM(M6:M155)</f>
      </c>
      <c r="N156" s="40"/>
      <c r="O156" s="40"/>
      <c r="P156" s="40"/>
      <c r="Q156" s="50">
        <f>SUM(Q6:Q155)</f>
      </c>
      <c r="R156" s="40"/>
      <c r="S156" s="50">
        <f>SUM(S6:S155)</f>
      </c>
      <c r="T156" s="40"/>
      <c r="U156" s="40"/>
    </row>
  </sheetData>
  <mergeCells count="9">
    <mergeCell ref="A1:U1"/>
    <mergeCell ref="A2:U2"/>
    <mergeCell ref="A3:U3"/>
    <mergeCell ref="B4:D4"/>
    <mergeCell ref="E4:H4"/>
    <mergeCell ref="I4:M4"/>
    <mergeCell ref="N4:P4"/>
    <mergeCell ref="Q4:T4"/>
    <mergeCell ref="A156:I156"/>
  </mergeCells>
  <dataValidations count="12">
    <dataValidation type="list" allowBlank="1" showErrorMessage="1" errorTitle="Kode Kegiatan Tidak Valid" error="Pilih kode 1–13" sqref="B10:B155">
      <formula1>"1,2,3,4,5,6,7,8,9,10,11,12,13"</formula1>
    </dataValidation>
    <dataValidation type="list" allowBlank="1" showErrorMessage="1" errorTitle="Kode Kegiatan Tidak Valid" error="Pilih kode 1–13" sqref="B6:B155">
      <formula1>"1,2,3,4,5,6,7,8,9,10,11,12,13"</formula1>
    </dataValidation>
    <dataValidation type="list" allowBlank="1" showErrorMessage="1" errorTitle="Sumber Dana Tidak Valid" error="Pilih: BOSP, BOPD, dll" sqref="K10:K155">
      <formula1>"BOSP,BOPD,BOSP + BOPD,Komite,Hibah,Lainnya"</formula1>
    </dataValidation>
    <dataValidation type="list" allowBlank="1" showErrorMessage="1" errorTitle="Sumber Dana Tidak Valid" error="Pilih: BOSP, BOPD, dll" sqref="K6:K155">
      <formula1>"BOSP,BOPD,BOSP + BOPD,Komite,Hibah,Lainnya"</formula1>
    </dataValidation>
    <dataValidation type="list" allowBlank="1" showErrorMessage="1" errorTitle="Input Tidak Valid" error="Pilih dari daftar yang tersedia" sqref="N10:N155">
      <formula1>"Semester 1,Semester 2,Semester 1 &amp; 2"</formula1>
    </dataValidation>
    <dataValidation type="list" allowBlank="1" showErrorMessage="1" errorTitle="Input Tidak Valid" error="Pilih dari daftar yang tersedia" sqref="N6:N155">
      <formula1>"Semester 1,Semester 2,Semester 1 &amp; 2"</formula1>
    </dataValidation>
    <dataValidation type="list" allowBlank="1" showErrorMessage="1" errorTitle="Input Tidak Valid" error="Pilih dari daftar yang tersedia" sqref="O10:O155">
      <formula1>"1,2,3,4,1&amp;2,3&amp;4,1&amp;2&amp;3&amp;4"</formula1>
    </dataValidation>
    <dataValidation type="list" allowBlank="1" showErrorMessage="1" errorTitle="Input Tidak Valid" error="Pilih dari daftar yang tersedia" sqref="O6:O155">
      <formula1>"1,2,3,4,1&amp;2,3&amp;4,1&amp;2&amp;3&amp;4"</formula1>
    </dataValidation>
    <dataValidation type="list" allowBlank="1" showErrorMessage="1" errorTitle="Input Tidak Valid" error="Pilih dari daftar yang tersedia" sqref="P10:P155">
      <formula1>"Rencana,Disetujui,Revisi,Terealisasi"</formula1>
    </dataValidation>
    <dataValidation type="list" allowBlank="1" showErrorMessage="1" errorTitle="Input Tidak Valid" error="Pilih dari daftar yang tersedia" sqref="P6:P155">
      <formula1>"Rencana,Disetujui,Revisi,Terealisasi"</formula1>
    </dataValidation>
    <dataValidation type="list" allowBlank="1" showErrorMessage="1" errorTitle="Input Tidak Valid" error="Pilih dari daftar yang tersedia" sqref="T10:T155">
      <formula1>"Belum Direalisasi,Sebagian,Selesai"</formula1>
    </dataValidation>
    <dataValidation type="list" allowBlank="1" showErrorMessage="1" errorTitle="Input Tidak Valid" error="Pilih dari daftar yang tersedia" sqref="T6:T155">
      <formula1>"Belum Direalisasi,Sebagian,Selesai"</formula1>
    </dataValidation>
  </dataValidations>
  <pageMargins left="0.5" right="0.5" top="0.75" bottom="0.75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H26"/>
  <sheetViews>
    <sheetView workbookViewId="0" showGridLines="0"/>
  </sheetViews>
  <sheetFormatPr defaultRowHeight="15" outlineLevelRow="0" outlineLevelCol="0" x14ac:dyDescent="55"/>
  <cols>
    <col min="1" max="1" width="40" customWidth="1"/>
    <col min="2" max="3" width="12" customWidth="1"/>
    <col min="4" max="5" width="20" customWidth="1"/>
    <col min="6" max="6" width="14" customWidth="1"/>
    <col min="7" max="7" width="18" customWidth="1"/>
    <col min="8" max="8" width="55" customWidth="1"/>
  </cols>
  <sheetData>
    <row r="1" ht="30" customHeight="1" spans="1:8" x14ac:dyDescent="0.25">
      <c r="A1" s="51" t="s">
        <v>321</v>
      </c>
      <c r="B1"/>
      <c r="C1"/>
      <c r="D1"/>
      <c r="E1"/>
      <c r="F1"/>
      <c r="G1"/>
      <c r="H1"/>
    </row>
    <row r="2" ht="20" customHeight="1" spans="1:8" x14ac:dyDescent="0.25">
      <c r="A2" s="52" t="s">
        <v>322</v>
      </c>
      <c r="B2"/>
      <c r="C2"/>
      <c r="D2"/>
      <c r="E2"/>
      <c r="F2"/>
      <c r="G2"/>
      <c r="H2"/>
    </row>
    <row r="4" ht="22" customHeight="1" spans="1:4" x14ac:dyDescent="0.25">
      <c r="A4" s="53" t="s">
        <v>323</v>
      </c>
      <c r="B4"/>
      <c r="C4"/>
      <c r="D4"/>
    </row>
    <row r="5" ht="22" customHeight="1" spans="1:4" x14ac:dyDescent="0.25">
      <c r="A5" s="54" t="s">
        <v>324</v>
      </c>
      <c r="B5"/>
      <c r="C5" s="55">
        <f>'⚙ Pengaturan'!E15</f>
      </c>
      <c r="D5" s="5"/>
    </row>
    <row r="6" ht="22" customHeight="1" spans="1:4" x14ac:dyDescent="0.25">
      <c r="A6" s="54" t="s">
        <v>325</v>
      </c>
      <c r="B6"/>
      <c r="C6" s="55">
        <f>'⚙ Pengaturan'!E16</f>
      </c>
      <c r="D6" s="5"/>
    </row>
    <row r="7" ht="22" customHeight="1" spans="1:4" x14ac:dyDescent="0.25">
      <c r="A7" s="54" t="s">
        <v>326</v>
      </c>
      <c r="B7"/>
      <c r="C7" s="55">
        <f>'✏️ Rancangan Anggaran'!L156</f>
      </c>
      <c r="D7" s="5"/>
    </row>
    <row r="8" ht="22" customHeight="1" spans="1:4" x14ac:dyDescent="0.25">
      <c r="A8" s="54" t="s">
        <v>327</v>
      </c>
      <c r="B8"/>
      <c r="C8" s="55">
        <f>'✏️ Rancangan Anggaran'!M156</f>
      </c>
      <c r="D8" s="5"/>
    </row>
    <row r="9" ht="22" customHeight="1" spans="1:4" x14ac:dyDescent="0.25">
      <c r="A9" s="54" t="s">
        <v>328</v>
      </c>
      <c r="B9"/>
      <c r="C9" s="55">
        <f>C5-C7</f>
      </c>
      <c r="D9" s="5"/>
    </row>
    <row r="10" ht="22" customHeight="1" spans="1:4" x14ac:dyDescent="0.25">
      <c r="A10" s="54" t="s">
        <v>329</v>
      </c>
      <c r="B10"/>
      <c r="C10" s="55">
        <f>C6-C8</f>
      </c>
      <c r="D10" s="5"/>
    </row>
    <row r="12" ht="25" customHeight="1" spans="1:8" x14ac:dyDescent="0.25">
      <c r="A12" s="56" t="s">
        <v>330</v>
      </c>
      <c r="B12"/>
      <c r="C12"/>
      <c r="D12"/>
      <c r="E12"/>
      <c r="F12"/>
      <c r="G12"/>
      <c r="H12"/>
    </row>
    <row r="13" ht="30" customHeight="1" spans="1:8" x14ac:dyDescent="0.25">
      <c r="A13" s="53" t="s">
        <v>331</v>
      </c>
      <c r="B13" s="53" t="s">
        <v>332</v>
      </c>
      <c r="C13" s="53" t="s">
        <v>333</v>
      </c>
      <c r="D13" s="53" t="s">
        <v>334</v>
      </c>
      <c r="E13" s="53" t="s">
        <v>335</v>
      </c>
      <c r="F13" s="53" t="s">
        <v>336</v>
      </c>
      <c r="G13" s="53" t="s">
        <v>337</v>
      </c>
      <c r="H13" s="53" t="s">
        <v>338</v>
      </c>
    </row>
    <row r="14" ht="28" customHeight="1" spans="1:8" x14ac:dyDescent="0.25">
      <c r="A14" s="57" t="s">
        <v>339</v>
      </c>
      <c r="B14" s="58" t="s">
        <v>340</v>
      </c>
      <c r="C14" s="59">
        <v>0.5</v>
      </c>
      <c r="D14" s="43">
        <f>0.5*C5</f>
      </c>
      <c r="E14" s="43">
        <f>SUMPRODUCT(('✏️ Rancangan Anggaran'!B6:B155="10")*('✏️ Rancangan Anggaran'!L6:L155))</f>
      </c>
      <c r="F14" s="60">
        <f>IF(C5&gt;0,E14/C5,0)</f>
      </c>
      <c r="G14" s="12">
        <f>IF(E14=0,"— Belum Diisi",IF(E14&gt;D14,"⛔ MELEBIHI BATAS","✅ Aman"))</f>
      </c>
      <c r="H14" s="61" t="s">
        <v>341</v>
      </c>
    </row>
    <row r="15" ht="28" customHeight="1" spans="1:8" x14ac:dyDescent="0.25">
      <c r="A15" s="62" t="s">
        <v>342</v>
      </c>
      <c r="B15" s="63" t="s">
        <v>343</v>
      </c>
      <c r="C15" s="64">
        <v>0.05</v>
      </c>
      <c r="D15" s="65">
        <f>0.05*C5</f>
      </c>
      <c r="E15" s="65">
        <f>SUMPRODUCT(('✏️ Rancangan Anggaran'!B6:B155="2")*('✏️ Rancangan Anggaran'!L6:L155))</f>
      </c>
      <c r="F15" s="66">
        <f>IF(C5&gt;0,E15/C5,0)</f>
      </c>
      <c r="G15" s="67">
        <f>IF(E15=0,"— Belum Diisi",IF(E15&lt;D15,"⚠️ DI BAWAH BATAS","✅ Terpenuhi"))</f>
      </c>
      <c r="H15" s="68" t="s">
        <v>344</v>
      </c>
    </row>
    <row r="16" ht="28" customHeight="1" spans="1:8" x14ac:dyDescent="0.25">
      <c r="A16" s="57" t="s">
        <v>345</v>
      </c>
      <c r="B16" s="58" t="s">
        <v>340</v>
      </c>
      <c r="C16" s="59">
        <v>0.2</v>
      </c>
      <c r="D16" s="43">
        <f>0.2*C5</f>
      </c>
      <c r="E16" s="43">
        <f>SUMPRODUCT(('✏️ Rancangan Anggaran'!B6:B155="8")*('✏️ Rancangan Anggaran'!L6:L155))</f>
      </c>
      <c r="F16" s="60">
        <f>IF(C5&gt;0,E16/C5,0)</f>
      </c>
      <c r="G16" s="12">
        <f>IF(E16=0,"— Belum Diisi",IF(E16&gt;D16,"⛔ MELEBIHI BATAS","✅ Aman"))</f>
      </c>
      <c r="H16" s="61" t="s">
        <v>346</v>
      </c>
    </row>
    <row r="17" ht="28" customHeight="1" spans="1:8" x14ac:dyDescent="0.25">
      <c r="A17" s="62" t="s">
        <v>347</v>
      </c>
      <c r="B17" s="63" t="s">
        <v>343</v>
      </c>
      <c r="C17" s="64">
        <v>0.1</v>
      </c>
      <c r="D17" s="65">
        <f>0.1*C5</f>
      </c>
      <c r="E17" s="65">
        <f>SUMPRODUCT(('✏️ Rancangan Anggaran'!B6:B155="3")*('✏️ Rancangan Anggaran'!L6:L155))</f>
      </c>
      <c r="F17" s="66">
        <f>IF(C5&gt;0,E17/C5,0)</f>
      </c>
      <c r="G17" s="67">
        <f>IF(E17=0,"— Belum Diisi",IF(E17&lt;D17,"⚠️ DI BAWAH BATAS","✅ Terpenuhi"))</f>
      </c>
      <c r="H17" s="68" t="s">
        <v>348</v>
      </c>
    </row>
    <row r="19" ht="22" customHeight="1" spans="1:8" x14ac:dyDescent="0.25">
      <c r="A19" s="69" t="s">
        <v>349</v>
      </c>
      <c r="B19"/>
      <c r="C19"/>
      <c r="D19"/>
      <c r="E19"/>
      <c r="F19"/>
      <c r="G19"/>
      <c r="H19"/>
    </row>
    <row r="20" ht="20" customHeight="1" spans="1:8" x14ac:dyDescent="0.25">
      <c r="A20" s="70" t="s">
        <v>350</v>
      </c>
      <c r="B20"/>
      <c r="C20"/>
      <c r="D20"/>
      <c r="E20"/>
      <c r="F20"/>
      <c r="G20"/>
      <c r="H20"/>
    </row>
    <row r="21" ht="20" customHeight="1" spans="1:8" x14ac:dyDescent="0.25">
      <c r="A21" s="70" t="s">
        <v>351</v>
      </c>
      <c r="B21"/>
      <c r="C21"/>
      <c r="D21"/>
      <c r="E21"/>
      <c r="F21"/>
      <c r="G21"/>
      <c r="H21"/>
    </row>
    <row r="22" ht="20" customHeight="1" spans="1:8" x14ac:dyDescent="0.25">
      <c r="A22" s="70" t="s">
        <v>352</v>
      </c>
      <c r="B22"/>
      <c r="C22"/>
      <c r="D22"/>
      <c r="E22"/>
      <c r="F22"/>
      <c r="G22"/>
      <c r="H22"/>
    </row>
    <row r="23" ht="20" customHeight="1" spans="1:8" x14ac:dyDescent="0.25">
      <c r="A23" s="70" t="s">
        <v>353</v>
      </c>
      <c r="B23"/>
      <c r="C23"/>
      <c r="D23"/>
      <c r="E23"/>
      <c r="F23"/>
      <c r="G23"/>
      <c r="H23"/>
    </row>
    <row r="24" ht="20" customHeight="1" spans="1:8" x14ac:dyDescent="0.25">
      <c r="A24" s="70" t="s">
        <v>354</v>
      </c>
      <c r="B24"/>
      <c r="C24"/>
      <c r="D24"/>
      <c r="E24"/>
      <c r="F24"/>
      <c r="G24"/>
      <c r="H24"/>
    </row>
    <row r="25" ht="20" customHeight="1" spans="1:8" x14ac:dyDescent="0.25">
      <c r="A25" s="70" t="s">
        <v>355</v>
      </c>
      <c r="B25"/>
      <c r="C25"/>
      <c r="D25"/>
      <c r="E25"/>
      <c r="F25"/>
      <c r="G25"/>
      <c r="H25"/>
    </row>
    <row r="26" ht="20" customHeight="1" spans="1:8" x14ac:dyDescent="0.25">
      <c r="A26" s="70" t="s">
        <v>356</v>
      </c>
      <c r="B26"/>
      <c r="C26"/>
      <c r="D26"/>
      <c r="E26"/>
      <c r="F26"/>
      <c r="G26"/>
      <c r="H26"/>
    </row>
  </sheetData>
  <mergeCells count="24">
    <mergeCell ref="A1:H1"/>
    <mergeCell ref="A2:H2"/>
    <mergeCell ref="A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2:H12"/>
    <mergeCell ref="A19:H19"/>
    <mergeCell ref="A20:H20"/>
    <mergeCell ref="A21:H21"/>
    <mergeCell ref="A22:H22"/>
    <mergeCell ref="A23:H23"/>
    <mergeCell ref="A24:H24"/>
    <mergeCell ref="A25:H25"/>
    <mergeCell ref="A26:H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G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45" customWidth="1"/>
    <col min="4" max="5" width="22" customWidth="1"/>
    <col min="6" max="7" width="12" customWidth="1"/>
  </cols>
  <sheetData>
    <row r="1" ht="30" customHeight="1" spans="1:7" x14ac:dyDescent="0.25">
      <c r="A1" s="71" t="s">
        <v>357</v>
      </c>
      <c r="B1"/>
      <c r="C1"/>
      <c r="D1"/>
      <c r="E1"/>
      <c r="F1"/>
      <c r="G1"/>
    </row>
    <row r="2" spans="1:7" x14ac:dyDescent="0.25">
      <c r="A2" s="72" t="s">
        <v>358</v>
      </c>
      <c r="B2"/>
      <c r="C2"/>
      <c r="D2"/>
      <c r="E2"/>
      <c r="F2"/>
      <c r="G2"/>
    </row>
    <row r="4" ht="25" customHeight="1" spans="1:7" x14ac:dyDescent="0.25">
      <c r="A4" s="73" t="s">
        <v>300</v>
      </c>
      <c r="B4" s="73" t="s">
        <v>24</v>
      </c>
      <c r="C4" s="73" t="s">
        <v>302</v>
      </c>
      <c r="D4" s="73" t="s">
        <v>359</v>
      </c>
      <c r="E4" s="73" t="s">
        <v>360</v>
      </c>
      <c r="F4" s="73" t="s">
        <v>361</v>
      </c>
      <c r="G4" s="73" t="s">
        <v>362</v>
      </c>
    </row>
    <row r="5" ht="22" customHeight="1" spans="1:7" x14ac:dyDescent="0.25">
      <c r="A5" s="15">
        <v>1</v>
      </c>
      <c r="B5" s="74" t="s">
        <v>28</v>
      </c>
      <c r="C5" s="14" t="s">
        <v>29</v>
      </c>
      <c r="D5" s="43">
        <f>SUMPRODUCT(('✏️ Rancangan Anggaran'!B6:B155=B5)*('✏️ Rancangan Anggaran'!L6:L155))</f>
      </c>
      <c r="E5" s="43">
        <f>SUMPRODUCT(('✏️ Rancangan Anggaran'!B6:B155=B5)*('✏️ Rancangan Anggaran'!K6:K155="BOSP")*('✏️ Rancangan Anggaran'!Q6:Q155))</f>
      </c>
      <c r="F5" s="60">
        <f>IF(D19&lt;&gt;0,D5/D19,0)</f>
      </c>
      <c r="G5" s="60">
        <f>IF(D5&gt;0,E5/D5,0)</f>
      </c>
    </row>
    <row r="6" ht="22" customHeight="1" spans="1:7" x14ac:dyDescent="0.25">
      <c r="A6" s="75">
        <v>2</v>
      </c>
      <c r="B6" s="76" t="s">
        <v>32</v>
      </c>
      <c r="C6" s="77" t="s">
        <v>33</v>
      </c>
      <c r="D6" s="78">
        <f>SUMPRODUCT(('✏️ Rancangan Anggaran'!B6:B155=B6)*('✏️ Rancangan Anggaran'!L6:L155))</f>
      </c>
      <c r="E6" s="78">
        <f>SUMPRODUCT(('✏️ Rancangan Anggaran'!B6:B155=B6)*('✏️ Rancangan Anggaran'!K6:K155="BOSP")*('✏️ Rancangan Anggaran'!Q6:Q155))</f>
      </c>
      <c r="F6" s="79">
        <f>IF(D19&lt;&gt;0,D6/D19,0)</f>
      </c>
      <c r="G6" s="79">
        <f>IF(D6&gt;0,E6/D6,0)</f>
      </c>
    </row>
    <row r="7" ht="22" customHeight="1" spans="1:7" x14ac:dyDescent="0.25">
      <c r="A7" s="15">
        <v>3</v>
      </c>
      <c r="B7" s="74" t="s">
        <v>35</v>
      </c>
      <c r="C7" s="14" t="s">
        <v>36</v>
      </c>
      <c r="D7" s="43">
        <f>SUMPRODUCT(('✏️ Rancangan Anggaran'!B6:B155=B7)*('✏️ Rancangan Anggaran'!L6:L155))</f>
      </c>
      <c r="E7" s="43">
        <f>SUMPRODUCT(('✏️ Rancangan Anggaran'!B6:B155=B7)*('✏️ Rancangan Anggaran'!K6:K155="BOSP")*('✏️ Rancangan Anggaran'!Q6:Q155))</f>
      </c>
      <c r="F7" s="60">
        <f>IF(D19&lt;&gt;0,D7/D19,0)</f>
      </c>
      <c r="G7" s="60">
        <f>IF(D7&gt;0,E7/D7,0)</f>
      </c>
    </row>
    <row r="8" ht="22" customHeight="1" spans="1:7" x14ac:dyDescent="0.25">
      <c r="A8" s="75">
        <v>4</v>
      </c>
      <c r="B8" s="76" t="s">
        <v>38</v>
      </c>
      <c r="C8" s="77" t="s">
        <v>39</v>
      </c>
      <c r="D8" s="78">
        <f>SUMPRODUCT(('✏️ Rancangan Anggaran'!B6:B155=B8)*('✏️ Rancangan Anggaran'!L6:L155))</f>
      </c>
      <c r="E8" s="78">
        <f>SUMPRODUCT(('✏️ Rancangan Anggaran'!B6:B155=B8)*('✏️ Rancangan Anggaran'!K6:K155="BOSP")*('✏️ Rancangan Anggaran'!Q6:Q155))</f>
      </c>
      <c r="F8" s="79">
        <f>IF(D19&lt;&gt;0,D8/D19,0)</f>
      </c>
      <c r="G8" s="79">
        <f>IF(D8&gt;0,E8/D8,0)</f>
      </c>
    </row>
    <row r="9" ht="22" customHeight="1" spans="1:7" x14ac:dyDescent="0.25">
      <c r="A9" s="15">
        <v>5</v>
      </c>
      <c r="B9" s="74" t="s">
        <v>41</v>
      </c>
      <c r="C9" s="14" t="s">
        <v>42</v>
      </c>
      <c r="D9" s="43">
        <f>SUMPRODUCT(('✏️ Rancangan Anggaran'!B6:B155=B9)*('✏️ Rancangan Anggaran'!L6:L155))</f>
      </c>
      <c r="E9" s="43">
        <f>SUMPRODUCT(('✏️ Rancangan Anggaran'!B6:B155=B9)*('✏️ Rancangan Anggaran'!K6:K155="BOSP")*('✏️ Rancangan Anggaran'!Q6:Q155))</f>
      </c>
      <c r="F9" s="60">
        <f>IF(D19&lt;&gt;0,D9/D19,0)</f>
      </c>
      <c r="G9" s="60">
        <f>IF(D9&gt;0,E9/D9,0)</f>
      </c>
    </row>
    <row r="10" ht="22" customHeight="1" spans="1:7" x14ac:dyDescent="0.25">
      <c r="A10" s="75">
        <v>6</v>
      </c>
      <c r="B10" s="76" t="s">
        <v>44</v>
      </c>
      <c r="C10" s="77" t="s">
        <v>45</v>
      </c>
      <c r="D10" s="78">
        <f>SUMPRODUCT(('✏️ Rancangan Anggaran'!B6:B155=B10)*('✏️ Rancangan Anggaran'!L6:L155))</f>
      </c>
      <c r="E10" s="78">
        <f>SUMPRODUCT(('✏️ Rancangan Anggaran'!B6:B155=B10)*('✏️ Rancangan Anggaran'!K6:K155="BOSP")*('✏️ Rancangan Anggaran'!Q6:Q155))</f>
      </c>
      <c r="F10" s="79">
        <f>IF(D19&lt;&gt;0,D10/D19,0)</f>
      </c>
      <c r="G10" s="79">
        <f>IF(D10&gt;0,E10/D10,0)</f>
      </c>
    </row>
    <row r="11" ht="22" customHeight="1" spans="1:7" x14ac:dyDescent="0.25">
      <c r="A11" s="15">
        <v>7</v>
      </c>
      <c r="B11" s="74" t="s">
        <v>47</v>
      </c>
      <c r="C11" s="14" t="s">
        <v>48</v>
      </c>
      <c r="D11" s="43">
        <f>SUMPRODUCT(('✏️ Rancangan Anggaran'!B6:B155=B11)*('✏️ Rancangan Anggaran'!L6:L155))</f>
      </c>
      <c r="E11" s="43">
        <f>SUMPRODUCT(('✏️ Rancangan Anggaran'!B6:B155=B11)*('✏️ Rancangan Anggaran'!K6:K155="BOSP")*('✏️ Rancangan Anggaran'!Q6:Q155))</f>
      </c>
      <c r="F11" s="60">
        <f>IF(D19&lt;&gt;0,D11/D19,0)</f>
      </c>
      <c r="G11" s="60">
        <f>IF(D11&gt;0,E11/D11,0)</f>
      </c>
    </row>
    <row r="12" ht="22" customHeight="1" spans="1:7" x14ac:dyDescent="0.25">
      <c r="A12" s="75">
        <v>8</v>
      </c>
      <c r="B12" s="76" t="s">
        <v>50</v>
      </c>
      <c r="C12" s="77" t="s">
        <v>51</v>
      </c>
      <c r="D12" s="78">
        <f>SUMPRODUCT(('✏️ Rancangan Anggaran'!B6:B155=B12)*('✏️ Rancangan Anggaran'!L6:L155))</f>
      </c>
      <c r="E12" s="78">
        <f>SUMPRODUCT(('✏️ Rancangan Anggaran'!B6:B155=B12)*('✏️ Rancangan Anggaran'!K6:K155="BOSP")*('✏️ Rancangan Anggaran'!Q6:Q155))</f>
      </c>
      <c r="F12" s="79">
        <f>IF(D19&lt;&gt;0,D12/D19,0)</f>
      </c>
      <c r="G12" s="79">
        <f>IF(D12&gt;0,E12/D12,0)</f>
      </c>
    </row>
    <row r="13" ht="22" customHeight="1" spans="1:7" x14ac:dyDescent="0.25">
      <c r="A13" s="15">
        <v>9</v>
      </c>
      <c r="B13" s="74" t="s">
        <v>53</v>
      </c>
      <c r="C13" s="14" t="s">
        <v>54</v>
      </c>
      <c r="D13" s="43">
        <f>SUMPRODUCT(('✏️ Rancangan Anggaran'!B6:B155=B13)*('✏️ Rancangan Anggaran'!L6:L155))</f>
      </c>
      <c r="E13" s="43">
        <f>SUMPRODUCT(('✏️ Rancangan Anggaran'!B6:B155=B13)*('✏️ Rancangan Anggaran'!K6:K155="BOSP")*('✏️ Rancangan Anggaran'!Q6:Q155))</f>
      </c>
      <c r="F13" s="60">
        <f>IF(D19&lt;&gt;0,D13/D19,0)</f>
      </c>
      <c r="G13" s="60">
        <f>IF(D13&gt;0,E13/D13,0)</f>
      </c>
    </row>
    <row r="14" ht="22" customHeight="1" spans="1:7" x14ac:dyDescent="0.25">
      <c r="A14" s="75">
        <v>10</v>
      </c>
      <c r="B14" s="76" t="s">
        <v>56</v>
      </c>
      <c r="C14" s="77" t="s">
        <v>57</v>
      </c>
      <c r="D14" s="78">
        <f>SUMPRODUCT(('✏️ Rancangan Anggaran'!B6:B155=B14)*('✏️ Rancangan Anggaran'!L6:L155))</f>
      </c>
      <c r="E14" s="78">
        <f>SUMPRODUCT(('✏️ Rancangan Anggaran'!B6:B155=B14)*('✏️ Rancangan Anggaran'!K6:K155="BOSP")*('✏️ Rancangan Anggaran'!Q6:Q155))</f>
      </c>
      <c r="F14" s="79">
        <f>IF(D19&lt;&gt;0,D14/D19,0)</f>
      </c>
      <c r="G14" s="79">
        <f>IF(D14&gt;0,E14/D14,0)</f>
      </c>
    </row>
    <row r="15" ht="22" customHeight="1" spans="1:7" x14ac:dyDescent="0.25">
      <c r="A15" s="15">
        <v>11</v>
      </c>
      <c r="B15" s="74" t="s">
        <v>59</v>
      </c>
      <c r="C15" s="14" t="s">
        <v>60</v>
      </c>
      <c r="D15" s="43">
        <f>SUMPRODUCT(('✏️ Rancangan Anggaran'!B6:B155=B15)*('✏️ Rancangan Anggaran'!L6:L155))</f>
      </c>
      <c r="E15" s="43">
        <f>SUMPRODUCT(('✏️ Rancangan Anggaran'!B6:B155=B15)*('✏️ Rancangan Anggaran'!K6:K155="BOSP")*('✏️ Rancangan Anggaran'!Q6:Q155))</f>
      </c>
      <c r="F15" s="60">
        <f>IF(D19&lt;&gt;0,D15/D19,0)</f>
      </c>
      <c r="G15" s="60">
        <f>IF(D15&gt;0,E15/D15,0)</f>
      </c>
    </row>
    <row r="16" ht="22" customHeight="1" spans="1:7" x14ac:dyDescent="0.25">
      <c r="A16" s="75">
        <v>12</v>
      </c>
      <c r="B16" s="76" t="s">
        <v>62</v>
      </c>
      <c r="C16" s="77" t="s">
        <v>63</v>
      </c>
      <c r="D16" s="78">
        <f>SUMPRODUCT(('✏️ Rancangan Anggaran'!B6:B155=B16)*('✏️ Rancangan Anggaran'!L6:L155))</f>
      </c>
      <c r="E16" s="78">
        <f>SUMPRODUCT(('✏️ Rancangan Anggaran'!B6:B155=B16)*('✏️ Rancangan Anggaran'!K6:K155="BOSP")*('✏️ Rancangan Anggaran'!Q6:Q155))</f>
      </c>
      <c r="F16" s="79">
        <f>IF(D19&lt;&gt;0,D16/D19,0)</f>
      </c>
      <c r="G16" s="79">
        <f>IF(D16&gt;0,E16/D16,0)</f>
      </c>
    </row>
    <row r="17" ht="22" customHeight="1" spans="1:7" x14ac:dyDescent="0.25">
      <c r="A17" s="15">
        <v>13</v>
      </c>
      <c r="B17" s="74" t="s">
        <v>65</v>
      </c>
      <c r="C17" s="14" t="s">
        <v>66</v>
      </c>
      <c r="D17" s="43">
        <f>SUMPRODUCT(('✏️ Rancangan Anggaran'!B6:B155=B17)*('✏️ Rancangan Anggaran'!L6:L155))</f>
      </c>
      <c r="E17" s="43">
        <f>SUMPRODUCT(('✏️ Rancangan Anggaran'!B6:B155=B17)*('✏️ Rancangan Anggaran'!K6:K155="BOSP")*('✏️ Rancangan Anggaran'!Q6:Q155))</f>
      </c>
      <c r="F17" s="60">
        <f>IF(D19&lt;&gt;0,D17/D19,0)</f>
      </c>
      <c r="G17" s="60">
        <f>IF(D17&gt;0,E17/D17,0)</f>
      </c>
    </row>
    <row r="18" ht="25" customHeight="1" spans="1:7" x14ac:dyDescent="0.25">
      <c r="A18" s="73" t="s">
        <v>363</v>
      </c>
      <c r="B18"/>
      <c r="C18"/>
      <c r="D18" s="50">
        <f>SUM(D5:D17)</f>
      </c>
      <c r="E18" s="50">
        <f>SUM(E5:E17)</f>
      </c>
      <c r="F18" s="80">
        <f>IF(D18&gt;0,E18/D18,0)</f>
      </c>
      <c r="G18" s="73" t="s">
        <v>14</v>
      </c>
    </row>
  </sheetData>
  <mergeCells count="3">
    <mergeCell ref="A1:G1"/>
    <mergeCell ref="A2:G2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G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45" customWidth="1"/>
    <col min="4" max="5" width="22" customWidth="1"/>
    <col min="6" max="7" width="12" customWidth="1"/>
  </cols>
  <sheetData>
    <row r="1" ht="30" customHeight="1" spans="1:7" x14ac:dyDescent="0.25">
      <c r="A1" s="81" t="s">
        <v>364</v>
      </c>
      <c r="B1"/>
      <c r="C1"/>
      <c r="D1"/>
      <c r="E1"/>
      <c r="F1"/>
      <c r="G1"/>
    </row>
    <row r="2" spans="1:7" x14ac:dyDescent="0.25">
      <c r="A2" s="82" t="s">
        <v>365</v>
      </c>
      <c r="B2"/>
      <c r="C2"/>
      <c r="D2"/>
      <c r="E2"/>
      <c r="F2"/>
      <c r="G2"/>
    </row>
    <row r="4" ht="25" customHeight="1" spans="1:7" x14ac:dyDescent="0.25">
      <c r="A4" s="83" t="s">
        <v>300</v>
      </c>
      <c r="B4" s="83" t="s">
        <v>24</v>
      </c>
      <c r="C4" s="83" t="s">
        <v>302</v>
      </c>
      <c r="D4" s="83" t="s">
        <v>366</v>
      </c>
      <c r="E4" s="83" t="s">
        <v>367</v>
      </c>
      <c r="F4" s="83" t="s">
        <v>361</v>
      </c>
      <c r="G4" s="83" t="s">
        <v>362</v>
      </c>
    </row>
    <row r="5" ht="22" customHeight="1" spans="1:7" x14ac:dyDescent="0.25">
      <c r="A5" s="15">
        <v>1</v>
      </c>
      <c r="B5" s="84" t="s">
        <v>28</v>
      </c>
      <c r="C5" s="14" t="s">
        <v>29</v>
      </c>
      <c r="D5" s="43">
        <f>SUMPRODUCT(('✏️ Rancangan Anggaran'!B6:B155=B5)*('✏️ Rancangan Anggaran'!M6:M155))</f>
      </c>
      <c r="E5" s="43">
        <f>SUMPRODUCT(('✏️ Rancangan Anggaran'!B6:B155=B5)*('✏️ Rancangan Anggaran'!K6:K155="BOPD")*('✏️ Rancangan Anggaran'!Q6:Q155))</f>
      </c>
      <c r="F5" s="60">
        <f>IF(D19&lt;&gt;0,D5/D19,0)</f>
      </c>
      <c r="G5" s="60">
        <f>IF(D5&gt;0,E5/D5,0)</f>
      </c>
    </row>
    <row r="6" ht="22" customHeight="1" spans="1:7" x14ac:dyDescent="0.25">
      <c r="A6" s="35">
        <v>2</v>
      </c>
      <c r="B6" s="85" t="s">
        <v>32</v>
      </c>
      <c r="C6" s="34" t="s">
        <v>33</v>
      </c>
      <c r="D6" s="45">
        <f>SUMPRODUCT(('✏️ Rancangan Anggaran'!B6:B155=B6)*('✏️ Rancangan Anggaran'!M6:M155))</f>
      </c>
      <c r="E6" s="45">
        <f>SUMPRODUCT(('✏️ Rancangan Anggaran'!B6:B155=B6)*('✏️ Rancangan Anggaran'!K6:K155="BOPD")*('✏️ Rancangan Anggaran'!Q6:Q155))</f>
      </c>
      <c r="F6" s="46">
        <f>IF(D19&lt;&gt;0,D6/D19,0)</f>
      </c>
      <c r="G6" s="46">
        <f>IF(D6&gt;0,E6/D6,0)</f>
      </c>
    </row>
    <row r="7" ht="22" customHeight="1" spans="1:7" x14ac:dyDescent="0.25">
      <c r="A7" s="15">
        <v>3</v>
      </c>
      <c r="B7" s="84" t="s">
        <v>35</v>
      </c>
      <c r="C7" s="14" t="s">
        <v>36</v>
      </c>
      <c r="D7" s="43">
        <f>SUMPRODUCT(('✏️ Rancangan Anggaran'!B6:B155=B7)*('✏️ Rancangan Anggaran'!M6:M155))</f>
      </c>
      <c r="E7" s="43">
        <f>SUMPRODUCT(('✏️ Rancangan Anggaran'!B6:B155=B7)*('✏️ Rancangan Anggaran'!K6:K155="BOPD")*('✏️ Rancangan Anggaran'!Q6:Q155))</f>
      </c>
      <c r="F7" s="60">
        <f>IF(D19&lt;&gt;0,D7/D19,0)</f>
      </c>
      <c r="G7" s="60">
        <f>IF(D7&gt;0,E7/D7,0)</f>
      </c>
    </row>
    <row r="8" ht="22" customHeight="1" spans="1:7" x14ac:dyDescent="0.25">
      <c r="A8" s="35">
        <v>4</v>
      </c>
      <c r="B8" s="85" t="s">
        <v>38</v>
      </c>
      <c r="C8" s="34" t="s">
        <v>39</v>
      </c>
      <c r="D8" s="45">
        <f>SUMPRODUCT(('✏️ Rancangan Anggaran'!B6:B155=B8)*('✏️ Rancangan Anggaran'!M6:M155))</f>
      </c>
      <c r="E8" s="45">
        <f>SUMPRODUCT(('✏️ Rancangan Anggaran'!B6:B155=B8)*('✏️ Rancangan Anggaran'!K6:K155="BOPD")*('✏️ Rancangan Anggaran'!Q6:Q155))</f>
      </c>
      <c r="F8" s="46">
        <f>IF(D19&lt;&gt;0,D8/D19,0)</f>
      </c>
      <c r="G8" s="46">
        <f>IF(D8&gt;0,E8/D8,0)</f>
      </c>
    </row>
    <row r="9" ht="22" customHeight="1" spans="1:7" x14ac:dyDescent="0.25">
      <c r="A9" s="15">
        <v>5</v>
      </c>
      <c r="B9" s="84" t="s">
        <v>41</v>
      </c>
      <c r="C9" s="14" t="s">
        <v>42</v>
      </c>
      <c r="D9" s="43">
        <f>SUMPRODUCT(('✏️ Rancangan Anggaran'!B6:B155=B9)*('✏️ Rancangan Anggaran'!M6:M155))</f>
      </c>
      <c r="E9" s="43">
        <f>SUMPRODUCT(('✏️ Rancangan Anggaran'!B6:B155=B9)*('✏️ Rancangan Anggaran'!K6:K155="BOPD")*('✏️ Rancangan Anggaran'!Q6:Q155))</f>
      </c>
      <c r="F9" s="60">
        <f>IF(D19&lt;&gt;0,D9/D19,0)</f>
      </c>
      <c r="G9" s="60">
        <f>IF(D9&gt;0,E9/D9,0)</f>
      </c>
    </row>
    <row r="10" ht="22" customHeight="1" spans="1:7" x14ac:dyDescent="0.25">
      <c r="A10" s="35">
        <v>6</v>
      </c>
      <c r="B10" s="85" t="s">
        <v>44</v>
      </c>
      <c r="C10" s="34" t="s">
        <v>45</v>
      </c>
      <c r="D10" s="45">
        <f>SUMPRODUCT(('✏️ Rancangan Anggaran'!B6:B155=B10)*('✏️ Rancangan Anggaran'!M6:M155))</f>
      </c>
      <c r="E10" s="45">
        <f>SUMPRODUCT(('✏️ Rancangan Anggaran'!B6:B155=B10)*('✏️ Rancangan Anggaran'!K6:K155="BOPD")*('✏️ Rancangan Anggaran'!Q6:Q155))</f>
      </c>
      <c r="F10" s="46">
        <f>IF(D19&lt;&gt;0,D10/D19,0)</f>
      </c>
      <c r="G10" s="46">
        <f>IF(D10&gt;0,E10/D10,0)</f>
      </c>
    </row>
    <row r="11" ht="22" customHeight="1" spans="1:7" x14ac:dyDescent="0.25">
      <c r="A11" s="15">
        <v>7</v>
      </c>
      <c r="B11" s="84" t="s">
        <v>47</v>
      </c>
      <c r="C11" s="14" t="s">
        <v>48</v>
      </c>
      <c r="D11" s="43">
        <f>SUMPRODUCT(('✏️ Rancangan Anggaran'!B6:B155=B11)*('✏️ Rancangan Anggaran'!M6:M155))</f>
      </c>
      <c r="E11" s="43">
        <f>SUMPRODUCT(('✏️ Rancangan Anggaran'!B6:B155=B11)*('✏️ Rancangan Anggaran'!K6:K155="BOPD")*('✏️ Rancangan Anggaran'!Q6:Q155))</f>
      </c>
      <c r="F11" s="60">
        <f>IF(D19&lt;&gt;0,D11/D19,0)</f>
      </c>
      <c r="G11" s="60">
        <f>IF(D11&gt;0,E11/D11,0)</f>
      </c>
    </row>
    <row r="12" ht="22" customHeight="1" spans="1:7" x14ac:dyDescent="0.25">
      <c r="A12" s="35">
        <v>8</v>
      </c>
      <c r="B12" s="85" t="s">
        <v>50</v>
      </c>
      <c r="C12" s="34" t="s">
        <v>51</v>
      </c>
      <c r="D12" s="45">
        <f>SUMPRODUCT(('✏️ Rancangan Anggaran'!B6:B155=B12)*('✏️ Rancangan Anggaran'!M6:M155))</f>
      </c>
      <c r="E12" s="45">
        <f>SUMPRODUCT(('✏️ Rancangan Anggaran'!B6:B155=B12)*('✏️ Rancangan Anggaran'!K6:K155="BOPD")*('✏️ Rancangan Anggaran'!Q6:Q155))</f>
      </c>
      <c r="F12" s="46">
        <f>IF(D19&lt;&gt;0,D12/D19,0)</f>
      </c>
      <c r="G12" s="46">
        <f>IF(D12&gt;0,E12/D12,0)</f>
      </c>
    </row>
    <row r="13" ht="22" customHeight="1" spans="1:7" x14ac:dyDescent="0.25">
      <c r="A13" s="15">
        <v>9</v>
      </c>
      <c r="B13" s="84" t="s">
        <v>53</v>
      </c>
      <c r="C13" s="14" t="s">
        <v>54</v>
      </c>
      <c r="D13" s="43">
        <f>SUMPRODUCT(('✏️ Rancangan Anggaran'!B6:B155=B13)*('✏️ Rancangan Anggaran'!M6:M155))</f>
      </c>
      <c r="E13" s="43">
        <f>SUMPRODUCT(('✏️ Rancangan Anggaran'!B6:B155=B13)*('✏️ Rancangan Anggaran'!K6:K155="BOPD")*('✏️ Rancangan Anggaran'!Q6:Q155))</f>
      </c>
      <c r="F13" s="60">
        <f>IF(D19&lt;&gt;0,D13/D19,0)</f>
      </c>
      <c r="G13" s="60">
        <f>IF(D13&gt;0,E13/D13,0)</f>
      </c>
    </row>
    <row r="14" ht="22" customHeight="1" spans="1:7" x14ac:dyDescent="0.25">
      <c r="A14" s="35">
        <v>10</v>
      </c>
      <c r="B14" s="85" t="s">
        <v>56</v>
      </c>
      <c r="C14" s="34" t="s">
        <v>57</v>
      </c>
      <c r="D14" s="45">
        <f>SUMPRODUCT(('✏️ Rancangan Anggaran'!B6:B155=B14)*('✏️ Rancangan Anggaran'!M6:M155))</f>
      </c>
      <c r="E14" s="45">
        <f>SUMPRODUCT(('✏️ Rancangan Anggaran'!B6:B155=B14)*('✏️ Rancangan Anggaran'!K6:K155="BOPD")*('✏️ Rancangan Anggaran'!Q6:Q155))</f>
      </c>
      <c r="F14" s="46">
        <f>IF(D19&lt;&gt;0,D14/D19,0)</f>
      </c>
      <c r="G14" s="46">
        <f>IF(D14&gt;0,E14/D14,0)</f>
      </c>
    </row>
    <row r="15" ht="22" customHeight="1" spans="1:7" x14ac:dyDescent="0.25">
      <c r="A15" s="15">
        <v>11</v>
      </c>
      <c r="B15" s="84" t="s">
        <v>59</v>
      </c>
      <c r="C15" s="14" t="s">
        <v>60</v>
      </c>
      <c r="D15" s="43">
        <f>SUMPRODUCT(('✏️ Rancangan Anggaran'!B6:B155=B15)*('✏️ Rancangan Anggaran'!M6:M155))</f>
      </c>
      <c r="E15" s="43">
        <f>SUMPRODUCT(('✏️ Rancangan Anggaran'!B6:B155=B15)*('✏️ Rancangan Anggaran'!K6:K155="BOPD")*('✏️ Rancangan Anggaran'!Q6:Q155))</f>
      </c>
      <c r="F15" s="60">
        <f>IF(D19&lt;&gt;0,D15/D19,0)</f>
      </c>
      <c r="G15" s="60">
        <f>IF(D15&gt;0,E15/D15,0)</f>
      </c>
    </row>
    <row r="16" ht="22" customHeight="1" spans="1:7" x14ac:dyDescent="0.25">
      <c r="A16" s="35">
        <v>12</v>
      </c>
      <c r="B16" s="85" t="s">
        <v>62</v>
      </c>
      <c r="C16" s="34" t="s">
        <v>63</v>
      </c>
      <c r="D16" s="45">
        <f>SUMPRODUCT(('✏️ Rancangan Anggaran'!B6:B155=B16)*('✏️ Rancangan Anggaran'!M6:M155))</f>
      </c>
      <c r="E16" s="45">
        <f>SUMPRODUCT(('✏️ Rancangan Anggaran'!B6:B155=B16)*('✏️ Rancangan Anggaran'!K6:K155="BOPD")*('✏️ Rancangan Anggaran'!Q6:Q155))</f>
      </c>
      <c r="F16" s="46">
        <f>IF(D19&lt;&gt;0,D16/D19,0)</f>
      </c>
      <c r="G16" s="46">
        <f>IF(D16&gt;0,E16/D16,0)</f>
      </c>
    </row>
    <row r="17" ht="22" customHeight="1" spans="1:7" x14ac:dyDescent="0.25">
      <c r="A17" s="15">
        <v>13</v>
      </c>
      <c r="B17" s="84" t="s">
        <v>65</v>
      </c>
      <c r="C17" s="14" t="s">
        <v>66</v>
      </c>
      <c r="D17" s="43">
        <f>SUMPRODUCT(('✏️ Rancangan Anggaran'!B6:B155=B17)*('✏️ Rancangan Anggaran'!M6:M155))</f>
      </c>
      <c r="E17" s="43">
        <f>SUMPRODUCT(('✏️ Rancangan Anggaran'!B6:B155=B17)*('✏️ Rancangan Anggaran'!K6:K155="BOPD")*('✏️ Rancangan Anggaran'!Q6:Q155))</f>
      </c>
      <c r="F17" s="60">
        <f>IF(D19&lt;&gt;0,D17/D19,0)</f>
      </c>
      <c r="G17" s="60">
        <f>IF(D17&gt;0,E17/D17,0)</f>
      </c>
    </row>
    <row r="18" ht="25" customHeight="1" spans="1:7" x14ac:dyDescent="0.25">
      <c r="A18" s="83" t="s">
        <v>363</v>
      </c>
      <c r="B18"/>
      <c r="C18"/>
      <c r="D18" s="50">
        <f>SUM(D5:D17)</f>
      </c>
      <c r="E18" s="50">
        <f>SUM(E5:E17)</f>
      </c>
      <c r="F18" s="80">
        <f>IF(D18&gt;0,E18/D18,0)</f>
      </c>
      <c r="G18" s="83" t="s">
        <v>14</v>
      </c>
    </row>
  </sheetData>
  <mergeCells count="3">
    <mergeCell ref="A1:G1"/>
    <mergeCell ref="A2:G2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24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8" customWidth="1"/>
    <col min="3" max="3" width="42" customWidth="1"/>
    <col min="4" max="7" width="22" customWidth="1"/>
    <col min="8" max="8" width="14" customWidth="1"/>
  </cols>
  <sheetData>
    <row r="1" ht="30" customHeight="1" spans="1:8" x14ac:dyDescent="0.25">
      <c r="A1" s="86" t="s">
        <v>368</v>
      </c>
      <c r="B1"/>
      <c r="C1"/>
      <c r="D1"/>
      <c r="E1"/>
      <c r="F1"/>
      <c r="G1"/>
      <c r="H1"/>
    </row>
    <row r="2" spans="1:8" x14ac:dyDescent="0.25">
      <c r="A2" s="87" t="s">
        <v>369</v>
      </c>
      <c r="B2"/>
      <c r="C2"/>
      <c r="D2"/>
      <c r="E2"/>
      <c r="F2"/>
      <c r="G2"/>
      <c r="H2"/>
    </row>
    <row r="4" ht="22" customHeight="1" spans="1:8" x14ac:dyDescent="0.25">
      <c r="A4" s="88" t="s">
        <v>370</v>
      </c>
      <c r="B4"/>
      <c r="C4"/>
      <c r="D4" s="88" t="s">
        <v>371</v>
      </c>
      <c r="E4" s="88" t="s">
        <v>372</v>
      </c>
      <c r="F4" s="88" t="s">
        <v>373</v>
      </c>
      <c r="G4" s="88" t="s">
        <v>374</v>
      </c>
      <c r="H4" s="88" t="s">
        <v>362</v>
      </c>
    </row>
    <row r="5" ht="22" customHeight="1" spans="1:8" x14ac:dyDescent="0.25">
      <c r="A5" s="89" t="s">
        <v>375</v>
      </c>
      <c r="B5"/>
      <c r="C5"/>
      <c r="D5" s="43">
        <f>'⚙ Pengaturan'!E15</f>
      </c>
      <c r="E5" s="43">
        <f>'📊 Rekap BOSP'!D18</f>
      </c>
      <c r="F5" s="43">
        <f>'📊 Rekap BOSP'!E18</f>
      </c>
      <c r="G5" s="43">
        <f>E5-F5</f>
      </c>
      <c r="H5" s="60">
        <f>IF(E5&gt;0,F5/E5,0)</f>
      </c>
    </row>
    <row r="6" ht="22" customHeight="1" spans="1:8" x14ac:dyDescent="0.25">
      <c r="A6" s="89" t="s">
        <v>211</v>
      </c>
      <c r="B6"/>
      <c r="C6"/>
      <c r="D6" s="43">
        <f>'⚙ Pengaturan'!E16</f>
      </c>
      <c r="E6" s="43">
        <f>'📊 Rekap BOPD'!D18</f>
      </c>
      <c r="F6" s="43">
        <f>'📊 Rekap BOPD'!E18</f>
      </c>
      <c r="G6" s="43">
        <f>E6-F6</f>
      </c>
      <c r="H6" s="60">
        <f>IF(E6&gt;0,F6/E6,0)</f>
      </c>
    </row>
    <row r="7" ht="25" customHeight="1" spans="1:8" x14ac:dyDescent="0.25">
      <c r="A7" s="88" t="s">
        <v>376</v>
      </c>
      <c r="B7"/>
      <c r="C7"/>
      <c r="D7" s="50">
        <f>SUM(D5:D6)</f>
      </c>
      <c r="E7" s="50">
        <f>SUM(E5:E6)</f>
      </c>
      <c r="F7" s="50">
        <f>SUM(F5:F6)</f>
      </c>
      <c r="G7" s="50">
        <f>SUM(G5:G6)</f>
      </c>
      <c r="H7" s="80">
        <f>IF(E7&gt;0,F7/E7,0)</f>
      </c>
    </row>
    <row r="9" ht="25" customHeight="1" spans="1:8" x14ac:dyDescent="0.25">
      <c r="A9" s="90" t="s">
        <v>377</v>
      </c>
      <c r="B9"/>
      <c r="C9"/>
      <c r="D9"/>
      <c r="E9"/>
      <c r="F9"/>
      <c r="G9"/>
      <c r="H9"/>
    </row>
    <row r="10" ht="22" customHeight="1" spans="1:8" x14ac:dyDescent="0.25">
      <c r="A10" s="88" t="s">
        <v>300</v>
      </c>
      <c r="B10" s="88" t="s">
        <v>24</v>
      </c>
      <c r="C10" s="88" t="s">
        <v>302</v>
      </c>
      <c r="D10" s="88" t="s">
        <v>359</v>
      </c>
      <c r="E10" s="88" t="s">
        <v>366</v>
      </c>
      <c r="F10" s="88" t="s">
        <v>378</v>
      </c>
      <c r="G10" s="88" t="s">
        <v>373</v>
      </c>
      <c r="H10" s="88" t="s">
        <v>362</v>
      </c>
    </row>
    <row r="11" ht="20" customHeight="1" spans="1:8" x14ac:dyDescent="0.25">
      <c r="A11" s="15">
        <v>1</v>
      </c>
      <c r="B11" s="91" t="s">
        <v>28</v>
      </c>
      <c r="C11" s="14" t="s">
        <v>29</v>
      </c>
      <c r="D11" s="43">
        <f>'📊 Rekap BOSP'!D5</f>
      </c>
      <c r="E11" s="43">
        <f>'📊 Rekap BOPD'!D5</f>
      </c>
      <c r="F11" s="92">
        <f>D11+E11</f>
      </c>
      <c r="G11" s="43">
        <f>'📊 Rekap BOSP'!E5+'📊 Rekap BOPD'!E5</f>
      </c>
      <c r="H11" s="60">
        <f>IF(F11&gt;0,G11/F11,0)</f>
      </c>
    </row>
    <row r="12" ht="20" customHeight="1" spans="1:8" x14ac:dyDescent="0.25">
      <c r="A12" s="93">
        <v>2</v>
      </c>
      <c r="B12" s="94" t="s">
        <v>32</v>
      </c>
      <c r="C12" s="95" t="s">
        <v>33</v>
      </c>
      <c r="D12" s="96">
        <f>'📊 Rekap BOSP'!D6</f>
      </c>
      <c r="E12" s="96">
        <f>'📊 Rekap BOPD'!D6</f>
      </c>
      <c r="F12" s="97">
        <f>D12+E12</f>
      </c>
      <c r="G12" s="96">
        <f>'📊 Rekap BOSP'!E6+'📊 Rekap BOPD'!E6</f>
      </c>
      <c r="H12" s="98">
        <f>IF(F12&gt;0,G12/F12,0)</f>
      </c>
    </row>
    <row r="13" ht="20" customHeight="1" spans="1:8" x14ac:dyDescent="0.25">
      <c r="A13" s="15">
        <v>3</v>
      </c>
      <c r="B13" s="91" t="s">
        <v>35</v>
      </c>
      <c r="C13" s="14" t="s">
        <v>36</v>
      </c>
      <c r="D13" s="43">
        <f>'📊 Rekap BOSP'!D7</f>
      </c>
      <c r="E13" s="43">
        <f>'📊 Rekap BOPD'!D7</f>
      </c>
      <c r="F13" s="92">
        <f>D13+E13</f>
      </c>
      <c r="G13" s="43">
        <f>'📊 Rekap BOSP'!E7+'📊 Rekap BOPD'!E7</f>
      </c>
      <c r="H13" s="60">
        <f>IF(F13&gt;0,G13/F13,0)</f>
      </c>
    </row>
    <row r="14" ht="20" customHeight="1" spans="1:8" x14ac:dyDescent="0.25">
      <c r="A14" s="93">
        <v>4</v>
      </c>
      <c r="B14" s="94" t="s">
        <v>38</v>
      </c>
      <c r="C14" s="95" t="s">
        <v>39</v>
      </c>
      <c r="D14" s="96">
        <f>'📊 Rekap BOSP'!D8</f>
      </c>
      <c r="E14" s="96">
        <f>'📊 Rekap BOPD'!D8</f>
      </c>
      <c r="F14" s="97">
        <f>D14+E14</f>
      </c>
      <c r="G14" s="96">
        <f>'📊 Rekap BOSP'!E8+'📊 Rekap BOPD'!E8</f>
      </c>
      <c r="H14" s="98">
        <f>IF(F14&gt;0,G14/F14,0)</f>
      </c>
    </row>
    <row r="15" ht="20" customHeight="1" spans="1:8" x14ac:dyDescent="0.25">
      <c r="A15" s="15">
        <v>5</v>
      </c>
      <c r="B15" s="91" t="s">
        <v>41</v>
      </c>
      <c r="C15" s="14" t="s">
        <v>42</v>
      </c>
      <c r="D15" s="43">
        <f>'📊 Rekap BOSP'!D9</f>
      </c>
      <c r="E15" s="43">
        <f>'📊 Rekap BOPD'!D9</f>
      </c>
      <c r="F15" s="92">
        <f>D15+E15</f>
      </c>
      <c r="G15" s="43">
        <f>'📊 Rekap BOSP'!E9+'📊 Rekap BOPD'!E9</f>
      </c>
      <c r="H15" s="60">
        <f>IF(F15&gt;0,G15/F15,0)</f>
      </c>
    </row>
    <row r="16" ht="20" customHeight="1" spans="1:8" x14ac:dyDescent="0.25">
      <c r="A16" s="93">
        <v>6</v>
      </c>
      <c r="B16" s="94" t="s">
        <v>44</v>
      </c>
      <c r="C16" s="95" t="s">
        <v>45</v>
      </c>
      <c r="D16" s="96">
        <f>'📊 Rekap BOSP'!D10</f>
      </c>
      <c r="E16" s="96">
        <f>'📊 Rekap BOPD'!D10</f>
      </c>
      <c r="F16" s="97">
        <f>D16+E16</f>
      </c>
      <c r="G16" s="96">
        <f>'📊 Rekap BOSP'!E10+'📊 Rekap BOPD'!E10</f>
      </c>
      <c r="H16" s="98">
        <f>IF(F16&gt;0,G16/F16,0)</f>
      </c>
    </row>
    <row r="17" ht="20" customHeight="1" spans="1:8" x14ac:dyDescent="0.25">
      <c r="A17" s="15">
        <v>7</v>
      </c>
      <c r="B17" s="91" t="s">
        <v>47</v>
      </c>
      <c r="C17" s="14" t="s">
        <v>48</v>
      </c>
      <c r="D17" s="43">
        <f>'📊 Rekap BOSP'!D11</f>
      </c>
      <c r="E17" s="43">
        <f>'📊 Rekap BOPD'!D11</f>
      </c>
      <c r="F17" s="92">
        <f>D17+E17</f>
      </c>
      <c r="G17" s="43">
        <f>'📊 Rekap BOSP'!E11+'📊 Rekap BOPD'!E11</f>
      </c>
      <c r="H17" s="60">
        <f>IF(F17&gt;0,G17/F17,0)</f>
      </c>
    </row>
    <row r="18" ht="20" customHeight="1" spans="1:8" x14ac:dyDescent="0.25">
      <c r="A18" s="93">
        <v>8</v>
      </c>
      <c r="B18" s="94" t="s">
        <v>50</v>
      </c>
      <c r="C18" s="95" t="s">
        <v>51</v>
      </c>
      <c r="D18" s="96">
        <f>'📊 Rekap BOSP'!D12</f>
      </c>
      <c r="E18" s="96">
        <f>'📊 Rekap BOPD'!D12</f>
      </c>
      <c r="F18" s="97">
        <f>D18+E18</f>
      </c>
      <c r="G18" s="96">
        <f>'📊 Rekap BOSP'!E12+'📊 Rekap BOPD'!E12</f>
      </c>
      <c r="H18" s="98">
        <f>IF(F18&gt;0,G18/F18,0)</f>
      </c>
    </row>
    <row r="19" ht="20" customHeight="1" spans="1:8" x14ac:dyDescent="0.25">
      <c r="A19" s="15">
        <v>9</v>
      </c>
      <c r="B19" s="91" t="s">
        <v>53</v>
      </c>
      <c r="C19" s="14" t="s">
        <v>54</v>
      </c>
      <c r="D19" s="43">
        <f>'📊 Rekap BOSP'!D13</f>
      </c>
      <c r="E19" s="43">
        <f>'📊 Rekap BOPD'!D13</f>
      </c>
      <c r="F19" s="92">
        <f>D19+E19</f>
      </c>
      <c r="G19" s="43">
        <f>'📊 Rekap BOSP'!E13+'📊 Rekap BOPD'!E13</f>
      </c>
      <c r="H19" s="60">
        <f>IF(F19&gt;0,G19/F19,0)</f>
      </c>
    </row>
    <row r="20" ht="20" customHeight="1" spans="1:8" x14ac:dyDescent="0.25">
      <c r="A20" s="93">
        <v>10</v>
      </c>
      <c r="B20" s="94" t="s">
        <v>56</v>
      </c>
      <c r="C20" s="95" t="s">
        <v>57</v>
      </c>
      <c r="D20" s="96">
        <f>'📊 Rekap BOSP'!D14</f>
      </c>
      <c r="E20" s="96">
        <f>'📊 Rekap BOPD'!D14</f>
      </c>
      <c r="F20" s="97">
        <f>D20+E20</f>
      </c>
      <c r="G20" s="96">
        <f>'📊 Rekap BOSP'!E14+'📊 Rekap BOPD'!E14</f>
      </c>
      <c r="H20" s="98">
        <f>IF(F20&gt;0,G20/F20,0)</f>
      </c>
    </row>
    <row r="21" ht="20" customHeight="1" spans="1:8" x14ac:dyDescent="0.25">
      <c r="A21" s="15">
        <v>11</v>
      </c>
      <c r="B21" s="91" t="s">
        <v>59</v>
      </c>
      <c r="C21" s="14" t="s">
        <v>60</v>
      </c>
      <c r="D21" s="43">
        <f>'📊 Rekap BOSP'!D15</f>
      </c>
      <c r="E21" s="43">
        <f>'📊 Rekap BOPD'!D15</f>
      </c>
      <c r="F21" s="92">
        <f>D21+E21</f>
      </c>
      <c r="G21" s="43">
        <f>'📊 Rekap BOSP'!E15+'📊 Rekap BOPD'!E15</f>
      </c>
      <c r="H21" s="60">
        <f>IF(F21&gt;0,G21/F21,0)</f>
      </c>
    </row>
    <row r="22" ht="20" customHeight="1" spans="1:8" x14ac:dyDescent="0.25">
      <c r="A22" s="93">
        <v>12</v>
      </c>
      <c r="B22" s="94" t="s">
        <v>62</v>
      </c>
      <c r="C22" s="95" t="s">
        <v>63</v>
      </c>
      <c r="D22" s="96">
        <f>'📊 Rekap BOSP'!D16</f>
      </c>
      <c r="E22" s="96">
        <f>'📊 Rekap BOPD'!D16</f>
      </c>
      <c r="F22" s="97">
        <f>D22+E22</f>
      </c>
      <c r="G22" s="96">
        <f>'📊 Rekap BOSP'!E16+'📊 Rekap BOPD'!E16</f>
      </c>
      <c r="H22" s="98">
        <f>IF(F22&gt;0,G22/F22,0)</f>
      </c>
    </row>
    <row r="23" ht="20" customHeight="1" spans="1:8" x14ac:dyDescent="0.25">
      <c r="A23" s="15">
        <v>13</v>
      </c>
      <c r="B23" s="91" t="s">
        <v>65</v>
      </c>
      <c r="C23" s="14" t="s">
        <v>66</v>
      </c>
      <c r="D23" s="43">
        <f>'📊 Rekap BOSP'!D17</f>
      </c>
      <c r="E23" s="43">
        <f>'📊 Rekap BOPD'!D17</f>
      </c>
      <c r="F23" s="92">
        <f>D23+E23</f>
      </c>
      <c r="G23" s="43">
        <f>'📊 Rekap BOSP'!E17+'📊 Rekap BOPD'!E17</f>
      </c>
      <c r="H23" s="60">
        <f>IF(F23&gt;0,G23/F23,0)</f>
      </c>
    </row>
    <row r="24" ht="25" customHeight="1" spans="1:8" x14ac:dyDescent="0.25">
      <c r="A24" s="88" t="s">
        <v>363</v>
      </c>
      <c r="B24"/>
      <c r="C24"/>
      <c r="D24" s="50">
        <f>SUM(D11:D23)</f>
      </c>
      <c r="E24" s="50">
        <f>SUM(E11:E23)</f>
      </c>
      <c r="F24" s="50">
        <f>SUM(F11:F23)</f>
      </c>
      <c r="G24" s="50">
        <f>SUM(G11:G23)</f>
      </c>
      <c r="H24" s="80">
        <f>IF(F24&gt;0,G24/F24,0)</f>
      </c>
    </row>
  </sheetData>
  <mergeCells count="8">
    <mergeCell ref="A1:H1"/>
    <mergeCell ref="A2:H2"/>
    <mergeCell ref="A4:C4"/>
    <mergeCell ref="A5:C5"/>
    <mergeCell ref="A6:C6"/>
    <mergeCell ref="A7:C7"/>
    <mergeCell ref="A9:H9"/>
    <mergeCell ref="A24:C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  <pageSetUpPr fitToPage="1"/>
  </sheetPr>
  <dimension ref="A1:G4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8" customWidth="1"/>
    <col min="3" max="3" width="40" customWidth="1"/>
    <col min="4" max="5" width="20" customWidth="1"/>
    <col min="6" max="6" width="22" customWidth="1"/>
    <col min="7" max="7" width="14" customWidth="1"/>
  </cols>
  <sheetData>
    <row r="1" ht="18" customHeight="1" spans="1:7" x14ac:dyDescent="0.25">
      <c r="A1" s="99" t="s">
        <v>379</v>
      </c>
      <c r="B1"/>
      <c r="C1"/>
      <c r="D1"/>
      <c r="E1"/>
      <c r="F1"/>
      <c r="G1"/>
    </row>
    <row r="2" ht="18" customHeight="1" spans="1:7" x14ac:dyDescent="0.25">
      <c r="A2" s="99" t="s">
        <v>380</v>
      </c>
      <c r="B2"/>
      <c r="C2"/>
      <c r="D2"/>
      <c r="E2"/>
      <c r="F2"/>
      <c r="G2"/>
    </row>
    <row r="3" ht="22" customHeight="1" spans="1:7" x14ac:dyDescent="0.25">
      <c r="A3" s="100" t="s">
        <v>381</v>
      </c>
      <c r="B3"/>
      <c r="C3"/>
      <c r="D3"/>
      <c r="E3"/>
      <c r="F3"/>
      <c r="G3"/>
    </row>
    <row r="4" spans="1:7" x14ac:dyDescent="0.25">
      <c r="A4" s="101" t="s">
        <v>382</v>
      </c>
      <c r="B4"/>
      <c r="C4"/>
      <c r="D4"/>
      <c r="E4"/>
      <c r="F4"/>
      <c r="G4"/>
    </row>
    <row r="5" ht="8" customHeight="1" spans="1:7" x14ac:dyDescent="0.25">
      <c r="A5" s="102" t="s">
        <v>14</v>
      </c>
      <c r="B5"/>
      <c r="C5"/>
      <c r="D5"/>
      <c r="E5"/>
      <c r="F5"/>
      <c r="G5"/>
    </row>
    <row r="7" ht="25" customHeight="1" spans="1:7" x14ac:dyDescent="0.25">
      <c r="A7" s="103" t="s">
        <v>383</v>
      </c>
      <c r="B7"/>
      <c r="C7"/>
      <c r="D7"/>
      <c r="E7"/>
      <c r="F7"/>
      <c r="G7"/>
    </row>
    <row r="8" ht="20" customHeight="1" spans="1:7" x14ac:dyDescent="0.25">
      <c r="A8" s="99" t="s">
        <v>384</v>
      </c>
      <c r="B8"/>
      <c r="C8"/>
      <c r="D8"/>
      <c r="E8"/>
      <c r="F8"/>
      <c r="G8"/>
    </row>
    <row r="10" ht="20" customHeight="1" spans="1:7" x14ac:dyDescent="0.25">
      <c r="A10" s="104" t="s">
        <v>385</v>
      </c>
      <c r="B10"/>
      <c r="C10"/>
      <c r="D10"/>
      <c r="E10"/>
      <c r="F10"/>
      <c r="G10"/>
    </row>
    <row r="11" ht="22" customHeight="1" spans="1:7" x14ac:dyDescent="0.25">
      <c r="A11" s="40" t="s">
        <v>300</v>
      </c>
      <c r="B11" s="40" t="s">
        <v>27</v>
      </c>
      <c r="C11" s="40" t="s">
        <v>371</v>
      </c>
      <c r="D11" s="40" t="s">
        <v>372</v>
      </c>
      <c r="E11" s="40" t="s">
        <v>373</v>
      </c>
      <c r="F11" s="40" t="s">
        <v>386</v>
      </c>
      <c r="G11" s="40" t="s">
        <v>362</v>
      </c>
    </row>
    <row r="12" ht="22" customHeight="1" spans="1:7" x14ac:dyDescent="0.25">
      <c r="A12" s="15" t="s">
        <v>28</v>
      </c>
      <c r="B12" s="105" t="s">
        <v>375</v>
      </c>
      <c r="C12" s="43">
        <f>'⚙ Pengaturan'!E15</f>
      </c>
      <c r="D12" s="43">
        <f>'📊 Rekap BOSP'!D18</f>
      </c>
      <c r="E12" s="43">
        <f>'📊 Rekap BOSP'!E18</f>
      </c>
      <c r="F12" s="43">
        <f>D12-E12</f>
      </c>
      <c r="G12" s="60">
        <f>IF(D12&gt;0,E12/D12,0)</f>
      </c>
    </row>
    <row r="13" ht="22" customHeight="1" spans="1:7" x14ac:dyDescent="0.25">
      <c r="A13" s="15" t="s">
        <v>32</v>
      </c>
      <c r="B13" s="105" t="s">
        <v>211</v>
      </c>
      <c r="C13" s="43">
        <f>'⚙ Pengaturan'!E16</f>
      </c>
      <c r="D13" s="43">
        <f>'📊 Rekap BOPD'!D18</f>
      </c>
      <c r="E13" s="43">
        <f>'📊 Rekap BOPD'!E18</f>
      </c>
      <c r="F13" s="43">
        <f>D13-E13</f>
      </c>
      <c r="G13" s="60">
        <f>IF(D13&gt;0,E13/D13,0)</f>
      </c>
    </row>
    <row r="14" ht="24" customHeight="1" spans="1:7" x14ac:dyDescent="0.25">
      <c r="A14" s="40" t="s">
        <v>363</v>
      </c>
      <c r="B14"/>
      <c r="C14" s="50">
        <f>SUM(C12:C13)</f>
      </c>
      <c r="D14" s="50">
        <f>SUM(D12:D13)</f>
      </c>
      <c r="E14" s="50">
        <f>SUM(E12:E13)</f>
      </c>
      <c r="F14" s="50">
        <f>SUM(F12:F13)</f>
      </c>
      <c r="G14" s="80">
        <f>IF(D14&gt;0,E14/D14,0)</f>
      </c>
    </row>
    <row r="16" ht="20" customHeight="1" spans="1:7" x14ac:dyDescent="0.25">
      <c r="A16" s="104" t="s">
        <v>387</v>
      </c>
      <c r="B16"/>
      <c r="C16"/>
      <c r="D16"/>
      <c r="E16"/>
      <c r="F16"/>
      <c r="G16"/>
    </row>
    <row r="17" ht="22" customHeight="1" spans="1:7" x14ac:dyDescent="0.25">
      <c r="A17" s="40" t="s">
        <v>300</v>
      </c>
      <c r="B17" s="40" t="s">
        <v>24</v>
      </c>
      <c r="C17" s="40" t="s">
        <v>388</v>
      </c>
      <c r="D17" s="40" t="s">
        <v>389</v>
      </c>
      <c r="E17" s="40" t="s">
        <v>390</v>
      </c>
      <c r="F17" s="40" t="s">
        <v>391</v>
      </c>
      <c r="G17" s="40" t="s">
        <v>392</v>
      </c>
    </row>
    <row r="18" ht="20" customHeight="1" spans="1:7" x14ac:dyDescent="0.25">
      <c r="A18" s="15">
        <v>1</v>
      </c>
      <c r="B18" s="42" t="s">
        <v>28</v>
      </c>
      <c r="C18" s="14" t="s">
        <v>29</v>
      </c>
      <c r="D18" s="43">
        <f>'📊 Rekap BOSP'!D5</f>
      </c>
      <c r="E18" s="43">
        <f>'📊 Rekap BOPD'!D5</f>
      </c>
      <c r="F18" s="92">
        <f>D18+E18</f>
      </c>
      <c r="G18" s="60">
        <f>IF('📈 Rekap Gabungan'!F24&gt;0,F18/'📈 Rekap Gabungan'!F24,0)</f>
      </c>
    </row>
    <row r="19" ht="20" customHeight="1" spans="1:7" x14ac:dyDescent="0.25">
      <c r="A19" s="19">
        <v>2</v>
      </c>
      <c r="B19" s="48" t="s">
        <v>32</v>
      </c>
      <c r="C19" s="18" t="s">
        <v>33</v>
      </c>
      <c r="D19" s="49">
        <f>'📊 Rekap BOSP'!D6</f>
      </c>
      <c r="E19" s="49">
        <f>'📊 Rekap BOPD'!D6</f>
      </c>
      <c r="F19" s="106">
        <f>D19+E19</f>
      </c>
      <c r="G19" s="107">
        <f>IF('📈 Rekap Gabungan'!F24&gt;0,F19/'📈 Rekap Gabungan'!F24,0)</f>
      </c>
    </row>
    <row r="20" ht="20" customHeight="1" spans="1:7" x14ac:dyDescent="0.25">
      <c r="A20" s="15">
        <v>3</v>
      </c>
      <c r="B20" s="42" t="s">
        <v>35</v>
      </c>
      <c r="C20" s="14" t="s">
        <v>36</v>
      </c>
      <c r="D20" s="43">
        <f>'📊 Rekap BOSP'!D7</f>
      </c>
      <c r="E20" s="43">
        <f>'📊 Rekap BOPD'!D7</f>
      </c>
      <c r="F20" s="92">
        <f>D20+E20</f>
      </c>
      <c r="G20" s="60">
        <f>IF('📈 Rekap Gabungan'!F24&gt;0,F20/'📈 Rekap Gabungan'!F24,0)</f>
      </c>
    </row>
    <row r="21" ht="20" customHeight="1" spans="1:7" x14ac:dyDescent="0.25">
      <c r="A21" s="19">
        <v>4</v>
      </c>
      <c r="B21" s="48" t="s">
        <v>38</v>
      </c>
      <c r="C21" s="18" t="s">
        <v>39</v>
      </c>
      <c r="D21" s="49">
        <f>'📊 Rekap BOSP'!D8</f>
      </c>
      <c r="E21" s="49">
        <f>'📊 Rekap BOPD'!D8</f>
      </c>
      <c r="F21" s="106">
        <f>D21+E21</f>
      </c>
      <c r="G21" s="107">
        <f>IF('📈 Rekap Gabungan'!F24&gt;0,F21/'📈 Rekap Gabungan'!F24,0)</f>
      </c>
    </row>
    <row r="22" ht="20" customHeight="1" spans="1:7" x14ac:dyDescent="0.25">
      <c r="A22" s="15">
        <v>5</v>
      </c>
      <c r="B22" s="42" t="s">
        <v>41</v>
      </c>
      <c r="C22" s="14" t="s">
        <v>42</v>
      </c>
      <c r="D22" s="43">
        <f>'📊 Rekap BOSP'!D9</f>
      </c>
      <c r="E22" s="43">
        <f>'📊 Rekap BOPD'!D9</f>
      </c>
      <c r="F22" s="92">
        <f>D22+E22</f>
      </c>
      <c r="G22" s="60">
        <f>IF('📈 Rekap Gabungan'!F24&gt;0,F22/'📈 Rekap Gabungan'!F24,0)</f>
      </c>
    </row>
    <row r="23" ht="20" customHeight="1" spans="1:7" x14ac:dyDescent="0.25">
      <c r="A23" s="19">
        <v>6</v>
      </c>
      <c r="B23" s="48" t="s">
        <v>44</v>
      </c>
      <c r="C23" s="18" t="s">
        <v>45</v>
      </c>
      <c r="D23" s="49">
        <f>'📊 Rekap BOSP'!D10</f>
      </c>
      <c r="E23" s="49">
        <f>'📊 Rekap BOPD'!D10</f>
      </c>
      <c r="F23" s="106">
        <f>D23+E23</f>
      </c>
      <c r="G23" s="107">
        <f>IF('📈 Rekap Gabungan'!F24&gt;0,F23/'📈 Rekap Gabungan'!F24,0)</f>
      </c>
    </row>
    <row r="24" ht="20" customHeight="1" spans="1:7" x14ac:dyDescent="0.25">
      <c r="A24" s="15">
        <v>7</v>
      </c>
      <c r="B24" s="42" t="s">
        <v>47</v>
      </c>
      <c r="C24" s="14" t="s">
        <v>48</v>
      </c>
      <c r="D24" s="43">
        <f>'📊 Rekap BOSP'!D11</f>
      </c>
      <c r="E24" s="43">
        <f>'📊 Rekap BOPD'!D11</f>
      </c>
      <c r="F24" s="92">
        <f>D24+E24</f>
      </c>
      <c r="G24" s="60">
        <f>IF('📈 Rekap Gabungan'!F24&gt;0,F24/'📈 Rekap Gabungan'!F24,0)</f>
      </c>
    </row>
    <row r="25" ht="20" customHeight="1" spans="1:7" x14ac:dyDescent="0.25">
      <c r="A25" s="19">
        <v>8</v>
      </c>
      <c r="B25" s="48" t="s">
        <v>50</v>
      </c>
      <c r="C25" s="18" t="s">
        <v>51</v>
      </c>
      <c r="D25" s="49">
        <f>'📊 Rekap BOSP'!D12</f>
      </c>
      <c r="E25" s="49">
        <f>'📊 Rekap BOPD'!D12</f>
      </c>
      <c r="F25" s="106">
        <f>D25+E25</f>
      </c>
      <c r="G25" s="107">
        <f>IF('📈 Rekap Gabungan'!F24&gt;0,F25/'📈 Rekap Gabungan'!F24,0)</f>
      </c>
    </row>
    <row r="26" ht="20" customHeight="1" spans="1:7" x14ac:dyDescent="0.25">
      <c r="A26" s="15">
        <v>9</v>
      </c>
      <c r="B26" s="42" t="s">
        <v>53</v>
      </c>
      <c r="C26" s="14" t="s">
        <v>54</v>
      </c>
      <c r="D26" s="43">
        <f>'📊 Rekap BOSP'!D13</f>
      </c>
      <c r="E26" s="43">
        <f>'📊 Rekap BOPD'!D13</f>
      </c>
      <c r="F26" s="92">
        <f>D26+E26</f>
      </c>
      <c r="G26" s="60">
        <f>IF('📈 Rekap Gabungan'!F24&gt;0,F26/'📈 Rekap Gabungan'!F24,0)</f>
      </c>
    </row>
    <row r="27" ht="20" customHeight="1" spans="1:7" x14ac:dyDescent="0.25">
      <c r="A27" s="19">
        <v>10</v>
      </c>
      <c r="B27" s="48" t="s">
        <v>56</v>
      </c>
      <c r="C27" s="18" t="s">
        <v>57</v>
      </c>
      <c r="D27" s="49">
        <f>'📊 Rekap BOSP'!D14</f>
      </c>
      <c r="E27" s="49">
        <f>'📊 Rekap BOPD'!D14</f>
      </c>
      <c r="F27" s="106">
        <f>D27+E27</f>
      </c>
      <c r="G27" s="107">
        <f>IF('📈 Rekap Gabungan'!F24&gt;0,F27/'📈 Rekap Gabungan'!F24,0)</f>
      </c>
    </row>
    <row r="28" ht="20" customHeight="1" spans="1:7" x14ac:dyDescent="0.25">
      <c r="A28" s="15">
        <v>11</v>
      </c>
      <c r="B28" s="42" t="s">
        <v>59</v>
      </c>
      <c r="C28" s="14" t="s">
        <v>60</v>
      </c>
      <c r="D28" s="43">
        <f>'📊 Rekap BOSP'!D15</f>
      </c>
      <c r="E28" s="43">
        <f>'📊 Rekap BOPD'!D15</f>
      </c>
      <c r="F28" s="92">
        <f>D28+E28</f>
      </c>
      <c r="G28" s="60">
        <f>IF('📈 Rekap Gabungan'!F24&gt;0,F28/'📈 Rekap Gabungan'!F24,0)</f>
      </c>
    </row>
    <row r="29" ht="20" customHeight="1" spans="1:7" x14ac:dyDescent="0.25">
      <c r="A29" s="19">
        <v>12</v>
      </c>
      <c r="B29" s="48" t="s">
        <v>62</v>
      </c>
      <c r="C29" s="18" t="s">
        <v>63</v>
      </c>
      <c r="D29" s="49">
        <f>'📊 Rekap BOSP'!D16</f>
      </c>
      <c r="E29" s="49">
        <f>'📊 Rekap BOPD'!D16</f>
      </c>
      <c r="F29" s="106">
        <f>D29+E29</f>
      </c>
      <c r="G29" s="107">
        <f>IF('📈 Rekap Gabungan'!F24&gt;0,F29/'📈 Rekap Gabungan'!F24,0)</f>
      </c>
    </row>
    <row r="30" ht="20" customHeight="1" spans="1:7" x14ac:dyDescent="0.25">
      <c r="A30" s="15">
        <v>13</v>
      </c>
      <c r="B30" s="42" t="s">
        <v>65</v>
      </c>
      <c r="C30" s="14" t="s">
        <v>66</v>
      </c>
      <c r="D30" s="43">
        <f>'📊 Rekap BOSP'!D17</f>
      </c>
      <c r="E30" s="43">
        <f>'📊 Rekap BOPD'!D17</f>
      </c>
      <c r="F30" s="92">
        <f>D30+E30</f>
      </c>
      <c r="G30" s="60">
        <f>IF('📈 Rekap Gabungan'!F24&gt;0,F30/'📈 Rekap Gabungan'!F24,0)</f>
      </c>
    </row>
    <row r="31" ht="25" customHeight="1" spans="1:7" x14ac:dyDescent="0.25">
      <c r="A31" s="40" t="s">
        <v>363</v>
      </c>
      <c r="B31"/>
      <c r="C31"/>
      <c r="D31" s="50">
        <f>SUM(D18:D30)</f>
      </c>
      <c r="E31" s="50">
        <f>SUM(E18:E30)</f>
      </c>
      <c r="F31" s="50">
        <f>SUM(F18:F30)</f>
      </c>
      <c r="G31" s="80" t="s">
        <v>393</v>
      </c>
    </row>
    <row r="34" spans="1:7" x14ac:dyDescent="0.25">
      <c r="A34" s="101" t="s">
        <v>394</v>
      </c>
      <c r="B34"/>
      <c r="C34"/>
      <c r="E34" s="101" t="s">
        <v>395</v>
      </c>
      <c r="F34"/>
      <c r="G34"/>
    </row>
    <row r="35" spans="5:7" x14ac:dyDescent="0.25">
      <c r="E35" s="101" t="s">
        <v>396</v>
      </c>
      <c r="F35"/>
      <c r="G35"/>
    </row>
    <row r="36" ht="18" customHeight="1" x14ac:dyDescent="0.25"/>
    <row r="37" ht="18" customHeight="1" x14ac:dyDescent="0.25"/>
    <row r="38" ht="18" customHeight="1" x14ac:dyDescent="0.25"/>
    <row r="39" spans="1:7" x14ac:dyDescent="0.25">
      <c r="A39" s="101" t="s">
        <v>397</v>
      </c>
      <c r="B39"/>
      <c r="C39"/>
      <c r="E39" s="101" t="s">
        <v>397</v>
      </c>
      <c r="F39"/>
      <c r="G39"/>
    </row>
    <row r="40" spans="1:7" x14ac:dyDescent="0.25">
      <c r="A40" s="101" t="s">
        <v>398</v>
      </c>
      <c r="B40"/>
      <c r="C40"/>
      <c r="E40" s="101" t="s">
        <v>398</v>
      </c>
      <c r="F40"/>
      <c r="G40"/>
    </row>
  </sheetData>
  <mergeCells count="18">
    <mergeCell ref="A1:G1"/>
    <mergeCell ref="A2:G2"/>
    <mergeCell ref="A3:G3"/>
    <mergeCell ref="A4:G4"/>
    <mergeCell ref="A5:G5"/>
    <mergeCell ref="A7:G7"/>
    <mergeCell ref="A8:G8"/>
    <mergeCell ref="A10:G10"/>
    <mergeCell ref="A14:B14"/>
    <mergeCell ref="A16:G16"/>
    <mergeCell ref="A31:C31"/>
    <mergeCell ref="A34:C34"/>
    <mergeCell ref="E34:G34"/>
    <mergeCell ref="E35:G35"/>
    <mergeCell ref="A39:C39"/>
    <mergeCell ref="E39:G39"/>
    <mergeCell ref="A40:C40"/>
    <mergeCell ref="E40:G40"/>
  </mergeCells>
  <pageMargins left="0.984251968503937" right="0.7874015748031495" top="1.1811023622047243" bottom="0.984251968503937"/>
  <pageSetup paperSize="9" orientation="portrait" fitToWidth="1" fitToHeight="0"/>
  <headerFooter>
    <oddHeader>&amp;C&amp;"Calibri,Bold"SMA NEGERI 1 CIGALONTANG</oddHeader>
    <oddFooter>&amp;LDicetak: &amp;D &amp;T&amp;C&amp;"Calibri,Italic"Dokumen ini bersifat internal — hanya untuk keperluan pelaporan kepada Kepala Sekolah&amp;RHal. &amp;P dari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04040"/>
  </sheetPr>
  <dimension ref="B2:H37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" customWidth="1"/>
    <col min="3" max="8" width="20" customWidth="1"/>
  </cols>
  <sheetData>
    <row r="2" ht="32" customHeight="1" spans="2:8" x14ac:dyDescent="0.25">
      <c r="B2" s="108" t="s">
        <v>399</v>
      </c>
      <c r="C2"/>
      <c r="D2"/>
      <c r="E2"/>
      <c r="F2"/>
      <c r="G2"/>
      <c r="H2"/>
    </row>
    <row r="4" ht="24" customHeight="1" spans="2:8" x14ac:dyDescent="0.25">
      <c r="B4" s="109" t="s">
        <v>400</v>
      </c>
      <c r="C4"/>
      <c r="D4"/>
      <c r="E4"/>
      <c r="F4"/>
      <c r="G4"/>
      <c r="H4"/>
    </row>
    <row r="5" ht="20" customHeight="1" spans="2:8" x14ac:dyDescent="0.25">
      <c r="B5" s="110" t="s">
        <v>401</v>
      </c>
      <c r="C5" s="111" t="s">
        <v>402</v>
      </c>
      <c r="D5"/>
      <c r="E5"/>
      <c r="F5"/>
      <c r="G5"/>
      <c r="H5"/>
    </row>
    <row r="6" ht="20" customHeight="1" spans="2:8" x14ac:dyDescent="0.25">
      <c r="B6" s="110" t="s">
        <v>401</v>
      </c>
      <c r="C6" s="111" t="s">
        <v>403</v>
      </c>
      <c r="D6"/>
      <c r="E6"/>
      <c r="F6"/>
      <c r="G6"/>
      <c r="H6"/>
    </row>
    <row r="8" ht="24" customHeight="1" spans="2:8" x14ac:dyDescent="0.25">
      <c r="B8" s="109" t="s">
        <v>404</v>
      </c>
      <c r="C8"/>
      <c r="D8"/>
      <c r="E8"/>
      <c r="F8"/>
      <c r="G8"/>
      <c r="H8"/>
    </row>
    <row r="9" ht="20" customHeight="1" spans="2:8" x14ac:dyDescent="0.25">
      <c r="B9" s="110" t="s">
        <v>401</v>
      </c>
      <c r="C9" s="111" t="s">
        <v>405</v>
      </c>
      <c r="D9"/>
      <c r="E9"/>
      <c r="F9"/>
      <c r="G9"/>
      <c r="H9"/>
    </row>
    <row r="10" ht="20" customHeight="1" spans="2:8" x14ac:dyDescent="0.25">
      <c r="B10" s="110" t="s">
        <v>401</v>
      </c>
      <c r="C10" s="111" t="s">
        <v>406</v>
      </c>
      <c r="D10"/>
      <c r="E10"/>
      <c r="F10"/>
      <c r="G10"/>
      <c r="H10"/>
    </row>
    <row r="11" ht="20" customHeight="1" spans="2:8" x14ac:dyDescent="0.25">
      <c r="B11" s="110" t="s">
        <v>401</v>
      </c>
      <c r="C11" s="111" t="s">
        <v>407</v>
      </c>
      <c r="D11"/>
      <c r="E11"/>
      <c r="F11"/>
      <c r="G11"/>
      <c r="H11"/>
    </row>
    <row r="13" ht="24" customHeight="1" spans="2:8" x14ac:dyDescent="0.25">
      <c r="B13" s="109" t="s">
        <v>408</v>
      </c>
      <c r="C13"/>
      <c r="D13"/>
      <c r="E13"/>
      <c r="F13"/>
      <c r="G13"/>
      <c r="H13"/>
    </row>
    <row r="14" ht="20" customHeight="1" spans="2:8" x14ac:dyDescent="0.25">
      <c r="B14" s="110" t="s">
        <v>401</v>
      </c>
      <c r="C14" s="111" t="s">
        <v>409</v>
      </c>
      <c r="D14"/>
      <c r="E14"/>
      <c r="F14"/>
      <c r="G14"/>
      <c r="H14"/>
    </row>
    <row r="15" ht="20" customHeight="1" spans="2:8" x14ac:dyDescent="0.25">
      <c r="B15" s="110" t="s">
        <v>401</v>
      </c>
      <c r="C15" s="111" t="s">
        <v>410</v>
      </c>
      <c r="D15"/>
      <c r="E15"/>
      <c r="F15"/>
      <c r="G15"/>
      <c r="H15"/>
    </row>
    <row r="16" ht="20" customHeight="1" spans="2:8" x14ac:dyDescent="0.25">
      <c r="B16" s="110" t="s">
        <v>401</v>
      </c>
      <c r="C16" s="111" t="s">
        <v>411</v>
      </c>
      <c r="D16"/>
      <c r="E16"/>
      <c r="F16"/>
      <c r="G16"/>
      <c r="H16"/>
    </row>
    <row r="17" ht="20" customHeight="1" spans="2:8" x14ac:dyDescent="0.25">
      <c r="B17" s="110" t="s">
        <v>401</v>
      </c>
      <c r="C17" s="111" t="s">
        <v>412</v>
      </c>
      <c r="D17"/>
      <c r="E17"/>
      <c r="F17"/>
      <c r="G17"/>
      <c r="H17"/>
    </row>
    <row r="18" ht="20" customHeight="1" spans="2:8" x14ac:dyDescent="0.25">
      <c r="B18" s="110" t="s">
        <v>401</v>
      </c>
      <c r="C18" s="111" t="s">
        <v>413</v>
      </c>
      <c r="D18"/>
      <c r="E18"/>
      <c r="F18"/>
      <c r="G18"/>
      <c r="H18"/>
    </row>
    <row r="19" ht="20" customHeight="1" spans="2:8" x14ac:dyDescent="0.25">
      <c r="B19" s="110" t="s">
        <v>401</v>
      </c>
      <c r="C19" s="111" t="s">
        <v>414</v>
      </c>
      <c r="D19"/>
      <c r="E19"/>
      <c r="F19"/>
      <c r="G19"/>
      <c r="H19"/>
    </row>
    <row r="21" ht="24" customHeight="1" spans="2:8" x14ac:dyDescent="0.25">
      <c r="B21" s="109" t="s">
        <v>415</v>
      </c>
      <c r="C21"/>
      <c r="D21"/>
      <c r="E21"/>
      <c r="F21"/>
      <c r="G21"/>
      <c r="H21"/>
    </row>
    <row r="22" ht="20" customHeight="1" spans="2:8" x14ac:dyDescent="0.25">
      <c r="B22" s="110" t="s">
        <v>401</v>
      </c>
      <c r="C22" s="111" t="s">
        <v>416</v>
      </c>
      <c r="D22"/>
      <c r="E22"/>
      <c r="F22"/>
      <c r="G22"/>
      <c r="H22"/>
    </row>
    <row r="23" ht="20" customHeight="1" spans="2:8" x14ac:dyDescent="0.25">
      <c r="B23" s="110" t="s">
        <v>401</v>
      </c>
      <c r="C23" s="111" t="s">
        <v>417</v>
      </c>
      <c r="D23"/>
      <c r="E23"/>
      <c r="F23"/>
      <c r="G23"/>
      <c r="H23"/>
    </row>
    <row r="24" ht="20" customHeight="1" spans="2:8" x14ac:dyDescent="0.25">
      <c r="B24" s="110" t="s">
        <v>401</v>
      </c>
      <c r="C24" s="111" t="s">
        <v>418</v>
      </c>
      <c r="D24"/>
      <c r="E24"/>
      <c r="F24"/>
      <c r="G24"/>
      <c r="H24"/>
    </row>
    <row r="25" ht="20" customHeight="1" spans="2:8" x14ac:dyDescent="0.25">
      <c r="B25" s="110" t="s">
        <v>401</v>
      </c>
      <c r="C25" s="111" t="s">
        <v>419</v>
      </c>
      <c r="D25"/>
      <c r="E25"/>
      <c r="F25"/>
      <c r="G25"/>
      <c r="H25"/>
    </row>
    <row r="26" ht="20" customHeight="1" spans="2:8" x14ac:dyDescent="0.25">
      <c r="B26" s="110" t="s">
        <v>401</v>
      </c>
      <c r="C26" s="111" t="s">
        <v>420</v>
      </c>
      <c r="D26"/>
      <c r="E26"/>
      <c r="F26"/>
      <c r="G26"/>
      <c r="H26"/>
    </row>
    <row r="28" ht="24" customHeight="1" spans="2:8" x14ac:dyDescent="0.25">
      <c r="B28" s="109" t="s">
        <v>421</v>
      </c>
      <c r="C28"/>
      <c r="D28"/>
      <c r="E28"/>
      <c r="F28"/>
      <c r="G28"/>
      <c r="H28"/>
    </row>
    <row r="29" ht="20" customHeight="1" spans="2:8" x14ac:dyDescent="0.25">
      <c r="B29" s="110" t="s">
        <v>401</v>
      </c>
      <c r="C29" s="111" t="s">
        <v>422</v>
      </c>
      <c r="D29"/>
      <c r="E29"/>
      <c r="F29"/>
      <c r="G29"/>
      <c r="H29"/>
    </row>
    <row r="30" ht="20" customHeight="1" spans="2:8" x14ac:dyDescent="0.25">
      <c r="B30" s="110" t="s">
        <v>401</v>
      </c>
      <c r="C30" s="111" t="s">
        <v>423</v>
      </c>
      <c r="D30"/>
      <c r="E30"/>
      <c r="F30"/>
      <c r="G30"/>
      <c r="H30"/>
    </row>
    <row r="31" ht="20" customHeight="1" spans="2:8" x14ac:dyDescent="0.25">
      <c r="B31" s="110" t="s">
        <v>401</v>
      </c>
      <c r="C31" s="111" t="s">
        <v>424</v>
      </c>
      <c r="D31"/>
      <c r="E31"/>
      <c r="F31"/>
      <c r="G31"/>
      <c r="H31"/>
    </row>
    <row r="33" ht="24" customHeight="1" spans="2:8" x14ac:dyDescent="0.25">
      <c r="B33" s="109" t="s">
        <v>425</v>
      </c>
      <c r="C33"/>
      <c r="D33"/>
      <c r="E33"/>
      <c r="F33"/>
      <c r="G33"/>
      <c r="H33"/>
    </row>
    <row r="34" ht="20" customHeight="1" spans="2:8" x14ac:dyDescent="0.25">
      <c r="B34" s="110" t="s">
        <v>401</v>
      </c>
      <c r="C34" s="111" t="s">
        <v>426</v>
      </c>
      <c r="D34"/>
      <c r="E34"/>
      <c r="F34"/>
      <c r="G34"/>
      <c r="H34"/>
    </row>
    <row r="35" ht="20" customHeight="1" spans="2:8" x14ac:dyDescent="0.25">
      <c r="B35" s="110" t="s">
        <v>401</v>
      </c>
      <c r="C35" s="111" t="s">
        <v>427</v>
      </c>
      <c r="D35"/>
      <c r="E35"/>
      <c r="F35"/>
      <c r="G35"/>
      <c r="H35"/>
    </row>
    <row r="36" ht="20" customHeight="1" spans="2:8" x14ac:dyDescent="0.25">
      <c r="B36" s="110" t="s">
        <v>401</v>
      </c>
      <c r="C36" s="111" t="s">
        <v>428</v>
      </c>
      <c r="D36"/>
      <c r="E36"/>
      <c r="F36"/>
      <c r="G36"/>
      <c r="H36"/>
    </row>
    <row r="37" ht="20" customHeight="1" spans="2:8" x14ac:dyDescent="0.25">
      <c r="B37" s="110" t="s">
        <v>401</v>
      </c>
      <c r="C37" s="111" t="s">
        <v>429</v>
      </c>
      <c r="D37"/>
      <c r="E37"/>
      <c r="F37"/>
      <c r="G37"/>
      <c r="H37"/>
    </row>
  </sheetData>
  <mergeCells count="30">
    <mergeCell ref="B2:H2"/>
    <mergeCell ref="B4:H4"/>
    <mergeCell ref="C5:H5"/>
    <mergeCell ref="C6:H6"/>
    <mergeCell ref="B8:H8"/>
    <mergeCell ref="C9:H9"/>
    <mergeCell ref="C10:H10"/>
    <mergeCell ref="C11:H11"/>
    <mergeCell ref="B13:H13"/>
    <mergeCell ref="C14:H14"/>
    <mergeCell ref="C15:H15"/>
    <mergeCell ref="C16:H16"/>
    <mergeCell ref="C17:H17"/>
    <mergeCell ref="C18:H18"/>
    <mergeCell ref="C19:H19"/>
    <mergeCell ref="B21:H21"/>
    <mergeCell ref="C22:H22"/>
    <mergeCell ref="C23:H23"/>
    <mergeCell ref="C24:H24"/>
    <mergeCell ref="C25:H25"/>
    <mergeCell ref="C26:H26"/>
    <mergeCell ref="B28:H28"/>
    <mergeCell ref="C29:H29"/>
    <mergeCell ref="C30:H30"/>
    <mergeCell ref="C31:H31"/>
    <mergeCell ref="B33:H33"/>
    <mergeCell ref="C34:H34"/>
    <mergeCell ref="C35:H35"/>
    <mergeCell ref="C36:H36"/>
    <mergeCell ref="C37:H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⚙ Pengaturan</vt:lpstr>
      <vt:lpstr>📋 Kode Kegiatan</vt:lpstr>
      <vt:lpstr>📂 Kode Rekening</vt:lpstr>
      <vt:lpstr>📂 Kode Rekening BOPD Jabar</vt:lpstr>
      <vt:lpstr>✏️ Rancangan Anggaran</vt:lpstr>
      <vt:lpstr>⚠️ Kontrol Batas BOSP</vt:lpstr>
      <vt:lpstr>📊 Rekap BOSP</vt:lpstr>
      <vt:lpstr>📊 Rekap BOPD</vt:lpstr>
      <vt:lpstr>📈 Rekap Gabungan</vt:lpstr>
      <vt:lpstr>🖨️ Laporan KS</vt:lpstr>
      <vt:lpstr>ℹ️ 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SMAN 1 Cigalontang</dc:creator>
  <dc:title/>
  <dc:subject/>
  <dc:description/>
  <cp:keywords/>
  <cp:category/>
  <cp:lastModifiedBy>Unknown</cp:lastModifiedBy>
  <dcterms:created xsi:type="dcterms:W3CDTF">2026-04-17T05:42:17Z</dcterms:created>
  <dcterms:modified xsi:type="dcterms:W3CDTF">2026-04-17T05:42:17Z</dcterms:modified>
</cp:coreProperties>
</file>