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 MASTER" sheetId="1" state="visible" r:id="rId3"/>
    <sheet name="DATA PEGAWAI" sheetId="2" state="visible" r:id="rId4"/>
    <sheet name="KONVERSI PREDIKAT KINERJA" sheetId="3" state="visible" r:id="rId5"/>
    <sheet name="AKUMULASI ANGKA KREDIT" sheetId="4" state="visible" r:id="rId6"/>
    <sheet name="PENETAPAN ANGKA KREDIT" sheetId="5" state="visible" r:id="rId7"/>
  </sheets>
  <definedNames>
    <definedName function="false" hidden="false" name="ak_baru" vbProcedure="false">'AKUMULASI ANGKA KREDIT'!$G$33</definedName>
    <definedName function="false" hidden="false" name="ak_konversi_periode" vbProcedure="false">'KONVERSI PREDIKAT KINERJA'!$F$30</definedName>
    <definedName function="false" hidden="false" name="Q_P1_BULAN" vbProcedure="false">CONCATENATE(INDEX(tbl_pegawai,MATCH('KONVERSI PREDIKAT KINERJA'!$C$8,tbl_nip,0),16)," (",INDEX(tbl_pegawai,MATCH('KONVERSI PREDIKAT KINERJA'!$C$8,tbl_nip,0),17)," bulan)")</definedName>
    <definedName function="false" hidden="false" name="tbl_pegawai" vbProcedure="false">'DATA PEGAWAI'!$B$5:$AD$34</definedName>
    <definedName function="false" hidden="false" name="tbl_nip" vbProcedure="false">'DATA PEGAWAI'!$B$5:$B$34</definedName>
    <definedName function="false" hidden="false" name="Q_P2_BULAN" vbProcedure="false">CONCATENATE(INDEX(tbl_pegawai,MATCH('KONVERSI PREDIKAT KINERJA'!$C$8,tbl_nip,0),19)," (",INDEX(tbl_pegawai,MATCH('KONVERSI PREDIKAT KINERJA'!$C$8,tbl_nip,0),20)," bulan)")</definedName>
    <definedName function="false" hidden="false" name="Q_P3_BULAN" vbProcedure="false">CONCATENATE(INDEX(tbl_pegawai,MATCH('KONVERSI PREDIKAT KINERJA'!$C$8,tbl_nip,0),22)," (",INDEX(tbl_pegawai,MATCH('KONVERSI PREDIKAT KINERJA'!$C$8,tbl_nip,0),23)," bulan)")</definedName>
    <definedName function="false" hidden="false" name="Q_P4_BULAN" vbProcedure="false">CONCATENATE(INDEX(tbl_pegawai,MATCH('KONVERSI PREDIKAT KINERJA'!$C$8,tbl_nip,0),25)," (",INDEX(tbl_pegawai,MATCH('KONVERSI PREDIKAT KINERJA'!$C$8,tbl_nip,0),26)," bulan)")</definedName>
    <definedName function="false" hidden="false" name="tbl_ak_dasar" vbProcedure="false">'DATA MASTER'!$A$39:$C$47</definedName>
    <definedName function="false" hidden="false" name="tbl_ak_jenjang" vbProcedure="false">'DATA MASTER'!$A$32:$B$35</definedName>
    <definedName function="false" hidden="false" name="tbl_ak_kp" vbProcedure="false">'DATA MASTER'!$A$21:$C$28</definedName>
    <definedName function="false" hidden="false" name="tbl_jenjang" vbProcedure="false">'DATA MASTER'!$A$14:$B$17</definedName>
    <definedName function="false" hidden="false" name="tbl_jenjang_nama" vbProcedure="false">'DATA MASTER'!$A$14:$A$17</definedName>
    <definedName function="false" hidden="false" name="tbl_pangkat_berikut" vbProcedure="false">'DATA MASTER'!$A$51:$E$58</definedName>
    <definedName function="false" hidden="false" name="tbl_predikat" vbProcedure="false">'DATA MASTER'!$A$5:$B$10</definedName>
    <definedName function="false" hidden="false" name="tbl_predikat_nama" vbProcedure="false">'DATA MASTER'!$A$5:$A$10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<sst xmlns="http://schemas.openxmlformats.org/spreadsheetml/2006/main" count="378" uniqueCount="162">
  <si>
    <t xml:space="preserve">DATA MASTER / TABEL REFERENSI</t>
  </si>
  <si>
    <t xml:space="preserve">TABEL PREDIKAT KINERJA</t>
  </si>
  <si>
    <t xml:space="preserve">PREDIKAT</t>
  </si>
  <si>
    <t xml:space="preserve">PROSENTASE</t>
  </si>
  <si>
    <t xml:space="preserve">Sangat Baik</t>
  </si>
  <si>
    <t xml:space="preserve">Baik</t>
  </si>
  <si>
    <t xml:space="preserve">Butuh Perbaikan</t>
  </si>
  <si>
    <t xml:space="preserve">Kurang</t>
  </si>
  <si>
    <t xml:space="preserve">Sangat Kurang</t>
  </si>
  <si>
    <t xml:space="preserve">-</t>
  </si>
  <si>
    <t xml:space="preserve">TABEL JENJANG &amp; KOEFISIEN</t>
  </si>
  <si>
    <t xml:space="preserve">JENJANG JABATAN</t>
  </si>
  <si>
    <t xml:space="preserve">KOEFISIEN/TH</t>
  </si>
  <si>
    <t xml:space="preserve">Ahli Pertama</t>
  </si>
  <si>
    <t xml:space="preserve">Ahli Muda</t>
  </si>
  <si>
    <t xml:space="preserve">Ahli Madya</t>
  </si>
  <si>
    <t xml:space="preserve">Ahli Utama</t>
  </si>
  <si>
    <t xml:space="preserve">AK MINIMAL KENAIKAN PANGKAT</t>
  </si>
  <si>
    <t xml:space="preserve">GOLONGAN</t>
  </si>
  <si>
    <t xml:space="preserve">KE GOL.</t>
  </si>
  <si>
    <t xml:space="preserve">AK MINIMAL</t>
  </si>
  <si>
    <t xml:space="preserve">III/a</t>
  </si>
  <si>
    <t xml:space="preserve">III/b</t>
  </si>
  <si>
    <t xml:space="preserve">III/c</t>
  </si>
  <si>
    <t xml:space="preserve">III/d</t>
  </si>
  <si>
    <t xml:space="preserve">IV/a</t>
  </si>
  <si>
    <t xml:space="preserve">IV/b</t>
  </si>
  <si>
    <t xml:space="preserve">IV/c</t>
  </si>
  <si>
    <t xml:space="preserve">IV/d</t>
  </si>
  <si>
    <t xml:space="preserve">IV/e</t>
  </si>
  <si>
    <t xml:space="preserve">AK MINIMAL KENAIKAN JENJANG</t>
  </si>
  <si>
    <t xml:space="preserve">DARI JENJANG</t>
  </si>
  <si>
    <t xml:space="preserve">AK DASAR (Tabel 2 Panduan)</t>
  </si>
  <si>
    <t xml:space="preserve">JENJANG</t>
  </si>
  <si>
    <t xml:space="preserve">AK DASAR</t>
  </si>
  <si>
    <t xml:space="preserve">TABEL PANGKAT / JENJANG BERIKUTNYA</t>
  </si>
  <si>
    <t xml:space="preserve">GOL LAMA</t>
  </si>
  <si>
    <t xml:space="preserve">GOL BARU</t>
  </si>
  <si>
    <t xml:space="preserve">PANGKAT BARU</t>
  </si>
  <si>
    <t xml:space="preserve">JENJANG BARU</t>
  </si>
  <si>
    <t xml:space="preserve">AK MIN EFEKTIF</t>
  </si>
  <si>
    <t xml:space="preserve">PENATA MUDA TK.I</t>
  </si>
  <si>
    <t xml:space="preserve">PENATA</t>
  </si>
  <si>
    <t xml:space="preserve">PENATA TK.I</t>
  </si>
  <si>
    <t xml:space="preserve">PEMBINA</t>
  </si>
  <si>
    <t xml:space="preserve">PEMBINA TK.I</t>
  </si>
  <si>
    <t xml:space="preserve">PEMBINA UTAMA MUDA</t>
  </si>
  <si>
    <t xml:space="preserve">PEMBINA UTAMA MADYA</t>
  </si>
  <si>
    <t xml:space="preserve">PEMBINA UTAMA</t>
  </si>
  <si>
    <t xml:space="preserve">DATABASE PEGAWAI (GURU)</t>
  </si>
  <si>
    <t xml:space="preserve">Petunjuk: isi satu baris per guru. Kolom berwarna hijau adalah isian. JENJANG &amp; GOLONGAN pakai dropdown. Tambahkan periode kinerja pada kolom P1..P4. Sheet SK memilih guru lewat dropdown NIP.</t>
  </si>
  <si>
    <t xml:space="preserve">NO</t>
  </si>
  <si>
    <t xml:space="preserve">NIP</t>
  </si>
  <si>
    <t xml:space="preserve">NAMA</t>
  </si>
  <si>
    <t xml:space="preserve">NOMOR SERI KARPEG</t>
  </si>
  <si>
    <t xml:space="preserve">TEMPAT/TGL LAHIR</t>
  </si>
  <si>
    <t xml:space="preserve">JENIS KELAMIN</t>
  </si>
  <si>
    <t xml:space="preserve">PANGKAT/GOL RUANG/TMT</t>
  </si>
  <si>
    <t xml:space="preserve">JABATAN/TMT</t>
  </si>
  <si>
    <t xml:space="preserve">UNIT KERJA</t>
  </si>
  <si>
    <t xml:space="preserve">INSTANSI</t>
  </si>
  <si>
    <t xml:space="preserve">AK DASAR (LAMA)</t>
  </si>
  <si>
    <t xml:space="preserve">AK JF LAMA</t>
  </si>
  <si>
    <t xml:space="preserve">AK PENYESUAIAN</t>
  </si>
  <si>
    <t xml:space="preserve">AK LAMA TOTAL</t>
  </si>
  <si>
    <t xml:space="preserve">P1 TAHUN</t>
  </si>
  <si>
    <t xml:space="preserve">P1 BULAN</t>
  </si>
  <si>
    <t xml:space="preserve">P1 PREDIKAT</t>
  </si>
  <si>
    <t xml:space="preserve">P2 TAHUN</t>
  </si>
  <si>
    <t xml:space="preserve">P2 BULAN</t>
  </si>
  <si>
    <t xml:space="preserve">P2 PREDIKAT</t>
  </si>
  <si>
    <t xml:space="preserve">P3 TAHUN</t>
  </si>
  <si>
    <t xml:space="preserve">P3 BULAN</t>
  </si>
  <si>
    <t xml:space="preserve">P3 PREDIKAT</t>
  </si>
  <si>
    <t xml:space="preserve">P4 TAHUN</t>
  </si>
  <si>
    <t xml:space="preserve">P4 BULAN</t>
  </si>
  <si>
    <t xml:space="preserve">P4 PREDIKAT</t>
  </si>
  <si>
    <t xml:space="preserve">PENANDATANGAN</t>
  </si>
  <si>
    <t xml:space="preserve">NIP PENANDATANGAN</t>
  </si>
  <si>
    <t xml:space="preserve">199101182019031011</t>
  </si>
  <si>
    <t xml:space="preserve">ABDUL HADI HASANUDDIN, S.Pd.</t>
  </si>
  <si>
    <t xml:space="preserve">B 03050388</t>
  </si>
  <si>
    <t xml:space="preserve">TASIKMALAYA/18-01-1991</t>
  </si>
  <si>
    <t xml:space="preserve">LAKI-LAKI</t>
  </si>
  <si>
    <t xml:space="preserve">PENATA MUDA TK.I/III/b/01-08-2024</t>
  </si>
  <si>
    <t xml:space="preserve">GURU AHLI PERTAMA/01-03-2019</t>
  </si>
  <si>
    <t xml:space="preserve">SMAN 1 CIGALONTANG KABUPATEN TASIKMALAYA SATUAN PENDIDIKAN KABUPATEN TASIKMALAYA CABANG PENDIDIKAN WILAYAH XII DINAS PENDIDIKAN</t>
  </si>
  <si>
    <t xml:space="preserve">PEMERINTAH PROVINSI JAWA BARAT</t>
  </si>
  <si>
    <t xml:space="preserve">Drs. ASEP SAEPUDIN, M.S.I</t>
  </si>
  <si>
    <t xml:space="preserve">196608121990031007</t>
  </si>
  <si>
    <t xml:space="preserve">PEMERINTAH DAERAH PROVINSI JAWA BARAT</t>
  </si>
  <si>
    <t xml:space="preserve">DINAS PENDIDIKAN</t>
  </si>
  <si>
    <t xml:space="preserve">Jalan. Dr. Radjiman No. 6 Telp. (022) 4264813 Fax. (022) 4264881</t>
  </si>
  <si>
    <t xml:space="preserve">Website : disdik.jabarprov.go.id</t>
  </si>
  <si>
    <t xml:space="preserve">e-mail: disdik@jabarprov.go.id/sekretariatdisdikjabar@gmail.com</t>
  </si>
  <si>
    <t xml:space="preserve">BANDUNG - 40171</t>
  </si>
  <si>
    <t xml:space="preserve">PILIH NIP:</t>
  </si>
  <si>
    <t xml:space="preserve">PERIODE KE-:</t>
  </si>
  <si>
    <t xml:space="preserve">KONVERSI PREDIKAT KINERJA KE ANGKA KREDIT</t>
  </si>
  <si>
    <t xml:space="preserve">PEJABAT FUNGSIONAL YANG DINILAI</t>
  </si>
  <si>
    <t xml:space="preserve">1</t>
  </si>
  <si>
    <t xml:space="preserve">:</t>
  </si>
  <si>
    <t xml:space="preserve">2</t>
  </si>
  <si>
    <t xml:space="preserve">3</t>
  </si>
  <si>
    <t xml:space="preserve">4</t>
  </si>
  <si>
    <t xml:space="preserve">TEMPAT/TGL. LAHIR</t>
  </si>
  <si>
    <t xml:space="preserve">5</t>
  </si>
  <si>
    <t xml:space="preserve">6</t>
  </si>
  <si>
    <t xml:space="preserve">PANGKAT/GOLONGAN RUANG/TMT</t>
  </si>
  <si>
    <t xml:space="preserve">7</t>
  </si>
  <si>
    <t xml:space="preserve">8</t>
  </si>
  <si>
    <t xml:space="preserve">9</t>
  </si>
  <si>
    <t xml:space="preserve">Hasil Penilaian Kinerja</t>
  </si>
  <si>
    <t xml:space="preserve">Koefisien per tahun</t>
  </si>
  <si>
    <t xml:space="preserve">Angka Kredit yang didapat
(Kolom 2 x Kolom 3 x (Bulan/12))</t>
  </si>
  <si>
    <t xml:space="preserve">Tembusan disampaikan kepada:</t>
  </si>
  <si>
    <t xml:space="preserve">1. Yth. Pimpinan Instansi Pembina Jabatan Fungsional yang bersangkutan;</t>
  </si>
  <si>
    <t xml:space="preserve">Pada tanggal 30 April 2025</t>
  </si>
  <si>
    <t xml:space="preserve">2. Yth. Kepala Badan Kepegawaian Negara/Kepala Kantor Regional III BKN;</t>
  </si>
  <si>
    <t xml:space="preserve">3. Yth. Sekretaris Daerah Provinsi Jawa Barat;</t>
  </si>
  <si>
    <t xml:space="preserve">Pejabat Penilai Kinerja</t>
  </si>
  <si>
    <t xml:space="preserve">4. Yth. Kepala Dinas Pendidikan;</t>
  </si>
  <si>
    <t xml:space="preserve">KEPALA SEKOLAH SMAN 1 CIGALONTANG</t>
  </si>
  <si>
    <t xml:space="preserve">KABUPATEN TASIKMALAYA,</t>
  </si>
  <si>
    <t xml:space="preserve">Pembina TK.I</t>
  </si>
  <si>
    <t xml:space="preserve">Dokumen ini telah ditandatangani secara elektronik menggunakan sertifikat elektronik yang diterbitkan oleh Balai Sertifikasi</t>
  </si>
  <si>
    <t xml:space="preserve">Elektronik (BSrE) Badan Siber dan Sandi Negara. Dokumen digital yang asli dapat diperoleh dengan memindai QR Code,</t>
  </si>
  <si>
    <t xml:space="preserve">memasukkan kode pada Aplikasi NDE Pemerintah Daerah Provinsi Jawa Barat, atau mengakses tautan berikut</t>
  </si>
  <si>
    <t xml:space="preserve">https://sidebar.jabarprov.go.id/v/XXXXXXXX</t>
  </si>
  <si>
    <t xml:space="preserve">XXXXXXXX</t>
  </si>
  <si>
    <t xml:space="preserve">AKUMULASI ANGKA KREDIT</t>
  </si>
  <si>
    <t xml:space="preserve">"Masa Penilaian : 2023 s.d saat ini"</t>
  </si>
  <si>
    <t xml:space="preserve">I</t>
  </si>
  <si>
    <t xml:space="preserve">KETERANGAN PERORANGAN</t>
  </si>
  <si>
    <t xml:space="preserve">HASIL PENILAIAN ANGKA KREDIT</t>
  </si>
  <si>
    <t xml:space="preserve">HASIL PENILAIAN KINERJA</t>
  </si>
  <si>
    <t xml:space="preserve">KOEFISIEN PER TAHUN</t>
  </si>
  <si>
    <t xml:space="preserve">ANGKA KREDIT YANG DIDAPAT</t>
  </si>
  <si>
    <t xml:space="preserve">TAHUN</t>
  </si>
  <si>
    <t xml:space="preserve">PERIODIK (BULAN)</t>
  </si>
  <si>
    <t xml:space="preserve">JUMLAH ANGKA KREDIT YANG DIPEROLEH</t>
  </si>
  <si>
    <t xml:space="preserve">Ditetapkan di Bandung</t>
  </si>
  <si>
    <t xml:space="preserve">PENETAPAN ANGKA KREDIT</t>
  </si>
  <si>
    <t xml:space="preserve">"Masa Penilaian : 01-01-2024 s.d 31-12-2024"</t>
  </si>
  <si>
    <t xml:space="preserve">TEMPAT/TANGGAL LAHIR</t>
  </si>
  <si>
    <t xml:space="preserve">II</t>
  </si>
  <si>
    <t xml:space="preserve">LAMA</t>
  </si>
  <si>
    <t xml:space="preserve">BARU</t>
  </si>
  <si>
    <t xml:space="preserve">JUMLAH</t>
  </si>
  <si>
    <t xml:space="preserve">KETERANGAN</t>
  </si>
  <si>
    <t xml:space="preserve">AK DASAR YANG DIBERIKAN</t>
  </si>
  <si>
    <t xml:space="preserve">AK PENYESUAIAN/ PENYETARAAN</t>
  </si>
  <si>
    <t xml:space="preserve">AK KONVERSI</t>
  </si>
  <si>
    <t xml:space="preserve">AK YANG DIPEROLEH DARI PENINGKATAN PENDIDIKAN</t>
  </si>
  <si>
    <t xml:space="preserve">…....... **)</t>
  </si>
  <si>
    <t xml:space="preserve">JUMLAH ANGKA KREDIT KUMULATIF</t>
  </si>
  <si>
    <t xml:space="preserve">PANGKAT</t>
  </si>
  <si>
    <t xml:space="preserve">ANGKA KREDIT MINIMAL YANG HARUS DIPENUHI UNTUK KENAIKAN PANGKAT/ JENJANG</t>
  </si>
  <si>
    <t xml:space="preserve">KEKURANGAN ANGKA KREDIT YANG HARUS DICAPAI UNTUK KENAIKAN PANGKAT</t>
  </si>
  <si>
    <t xml:space="preserve">KEKURANGAN ANGKA KREDIT YANG HARUS DICAPAI UNTUK KENAIKAN JENJANG</t>
  </si>
  <si>
    <t xml:space="preserve">ASLI Penetapan Angka Kredit untuk:</t>
  </si>
  <si>
    <t xml:space="preserve">5. Yth. Sekretariat Tim Penilai Kinerja PNS Pemerintah Provinsi Jawa Barat.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</si>
</sst>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0.0"/>
    <numFmt numFmtId="167" formatCode="0"/>
    <numFmt numFmtId="168" formatCode="0.000"/>
  </numFmts>
  <fonts count="14">
    <font>
      <sz val="10"/>
      <color rgb="FF000000"/>
      <name val="Times New Roman"/>
      <family val="0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Times New Roman"/>
      <family val="0"/>
      <charset val="1"/>
    </font>
    <font>
      <b val="true"/>
      <sz val="11"/>
      <name val="Times New Roman"/>
      <family val="0"/>
      <charset val="1"/>
    </font>
    <font>
      <b val="true"/>
      <sz val="10"/>
      <name val="Times New Roman"/>
      <family val="0"/>
      <charset val="1"/>
    </font>
    <font>
      <sz val="10"/>
      <name val="Times New Roman"/>
      <family val="0"/>
      <charset val="1"/>
    </font>
    <font>
      <i val="true"/>
      <sz val="9"/>
      <name val="Times New Roman"/>
      <family val="0"/>
      <charset val="1"/>
    </font>
    <font>
      <b val="true"/>
      <sz val="16"/>
      <name val="Times New Roman"/>
      <family val="0"/>
      <charset val="1"/>
    </font>
    <font>
      <b val="true"/>
      <sz val="13"/>
      <name val="Times New Roman"/>
      <family val="0"/>
      <charset val="1"/>
    </font>
    <font>
      <sz val="11"/>
      <name val="Times New Roman"/>
      <family val="0"/>
      <charset val="1"/>
    </font>
    <font>
      <sz val="8"/>
      <name val="Times New Roman"/>
      <family val="0"/>
      <charset val="1"/>
    </font>
    <font>
      <u val="single"/>
      <sz val="8"/>
      <color rgb="FF0000FF"/>
      <name val="Times New Roman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DEEBF7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EEBF7"/>
      </patternFill>
    </fill>
    <fill>
      <patternFill patternType="solid">
        <fgColor rgb="FFDEEBF7"/>
        <bgColor rgb="FFD9E1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539062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5" min="4" style="0" width="16"/>
    <col collapsed="false" customWidth="true" hidden="false" outlineLevel="0" max="6" min="6" style="0" width="14"/>
  </cols>
  <sheetData>
    <row r="1" customFormat="false" ht="17.35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15" hidden="false" customHeight="true" outlineLevel="0" collapsed="false">
      <c r="A3" s="2" t="s">
        <v>1</v>
      </c>
      <c r="B3" s="2"/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5" t="n">
        <v>1.5</v>
      </c>
    </row>
    <row r="6" customFormat="false" ht="15" hidden="false" customHeight="false" outlineLevel="0" collapsed="false">
      <c r="A6" s="4" t="s">
        <v>5</v>
      </c>
      <c r="B6" s="5" t="n">
        <v>1</v>
      </c>
    </row>
    <row r="7" customFormat="false" ht="15" hidden="false" customHeight="false" outlineLevel="0" collapsed="false">
      <c r="A7" s="4" t="s">
        <v>6</v>
      </c>
      <c r="B7" s="5" t="n">
        <v>0.75</v>
      </c>
    </row>
    <row r="8" customFormat="false" ht="15" hidden="false" customHeight="false" outlineLevel="0" collapsed="false">
      <c r="A8" s="4" t="s">
        <v>7</v>
      </c>
      <c r="B8" s="5" t="n">
        <v>0.5</v>
      </c>
    </row>
    <row r="9" customFormat="false" ht="15" hidden="false" customHeight="false" outlineLevel="0" collapsed="false">
      <c r="A9" s="4" t="s">
        <v>8</v>
      </c>
      <c r="B9" s="5" t="n">
        <v>0.25</v>
      </c>
    </row>
    <row r="10" customFormat="false" ht="15" hidden="false" customHeight="false" outlineLevel="0" collapsed="false">
      <c r="A10" s="4" t="s">
        <v>9</v>
      </c>
      <c r="B10" s="5" t="n">
        <v>0</v>
      </c>
    </row>
    <row r="12" customFormat="false" ht="15" hidden="false" customHeight="true" outlineLevel="0" collapsed="false">
      <c r="A12" s="2" t="s">
        <v>10</v>
      </c>
      <c r="B12" s="2"/>
    </row>
    <row r="13" customFormat="false" ht="23.85" hidden="false" customHeight="false" outlineLevel="0" collapsed="false">
      <c r="A13" s="3" t="s">
        <v>11</v>
      </c>
      <c r="B13" s="3" t="s">
        <v>12</v>
      </c>
    </row>
    <row r="14" customFormat="false" ht="15" hidden="false" customHeight="false" outlineLevel="0" collapsed="false">
      <c r="A14" s="4" t="s">
        <v>13</v>
      </c>
      <c r="B14" s="6" t="n">
        <v>12.5</v>
      </c>
    </row>
    <row r="15" customFormat="false" ht="15" hidden="false" customHeight="false" outlineLevel="0" collapsed="false">
      <c r="A15" s="4" t="s">
        <v>14</v>
      </c>
      <c r="B15" s="6" t="n">
        <v>25</v>
      </c>
    </row>
    <row r="16" customFormat="false" ht="15" hidden="false" customHeight="false" outlineLevel="0" collapsed="false">
      <c r="A16" s="4" t="s">
        <v>15</v>
      </c>
      <c r="B16" s="6" t="n">
        <v>37.5</v>
      </c>
    </row>
    <row r="17" customFormat="false" ht="15" hidden="false" customHeight="false" outlineLevel="0" collapsed="false">
      <c r="A17" s="4" t="s">
        <v>16</v>
      </c>
      <c r="B17" s="6" t="n">
        <v>50</v>
      </c>
    </row>
    <row r="19" customFormat="false" ht="15" hidden="false" customHeight="true" outlineLevel="0" collapsed="false">
      <c r="A19" s="2" t="s">
        <v>17</v>
      </c>
      <c r="B19" s="2"/>
      <c r="C19" s="2"/>
    </row>
    <row r="20" customFormat="false" ht="15" hidden="false" customHeight="false" outlineLevel="0" collapsed="false">
      <c r="A20" s="3" t="s">
        <v>18</v>
      </c>
      <c r="B20" s="3" t="s">
        <v>19</v>
      </c>
      <c r="C20" s="3" t="s">
        <v>20</v>
      </c>
    </row>
    <row r="21" customFormat="false" ht="15" hidden="false" customHeight="false" outlineLevel="0" collapsed="false">
      <c r="A21" s="7" t="s">
        <v>21</v>
      </c>
      <c r="B21" s="7" t="s">
        <v>22</v>
      </c>
      <c r="C21" s="8" t="n">
        <v>50</v>
      </c>
    </row>
    <row r="22" customFormat="false" ht="15" hidden="false" customHeight="false" outlineLevel="0" collapsed="false">
      <c r="A22" s="7" t="s">
        <v>22</v>
      </c>
      <c r="B22" s="7" t="s">
        <v>23</v>
      </c>
      <c r="C22" s="8" t="n">
        <v>50</v>
      </c>
    </row>
    <row r="23" customFormat="false" ht="15" hidden="false" customHeight="false" outlineLevel="0" collapsed="false">
      <c r="A23" s="7" t="s">
        <v>23</v>
      </c>
      <c r="B23" s="7" t="s">
        <v>24</v>
      </c>
      <c r="C23" s="8" t="n">
        <v>100</v>
      </c>
    </row>
    <row r="24" customFormat="false" ht="15" hidden="false" customHeight="false" outlineLevel="0" collapsed="false">
      <c r="A24" s="7" t="s">
        <v>24</v>
      </c>
      <c r="B24" s="7" t="s">
        <v>25</v>
      </c>
      <c r="C24" s="8" t="n">
        <v>100</v>
      </c>
    </row>
    <row r="25" customFormat="false" ht="15" hidden="false" customHeight="false" outlineLevel="0" collapsed="false">
      <c r="A25" s="7" t="s">
        <v>25</v>
      </c>
      <c r="B25" s="7" t="s">
        <v>26</v>
      </c>
      <c r="C25" s="8" t="n">
        <v>150</v>
      </c>
    </row>
    <row r="26" customFormat="false" ht="15" hidden="false" customHeight="false" outlineLevel="0" collapsed="false">
      <c r="A26" s="7" t="s">
        <v>26</v>
      </c>
      <c r="B26" s="7" t="s">
        <v>27</v>
      </c>
      <c r="C26" s="8" t="n">
        <v>150</v>
      </c>
    </row>
    <row r="27" customFormat="false" ht="15" hidden="false" customHeight="false" outlineLevel="0" collapsed="false">
      <c r="A27" s="7" t="s">
        <v>27</v>
      </c>
      <c r="B27" s="7" t="s">
        <v>28</v>
      </c>
      <c r="C27" s="8" t="n">
        <v>450</v>
      </c>
    </row>
    <row r="28" customFormat="false" ht="15" hidden="false" customHeight="false" outlineLevel="0" collapsed="false">
      <c r="A28" s="7" t="s">
        <v>28</v>
      </c>
      <c r="B28" s="7" t="s">
        <v>29</v>
      </c>
      <c r="C28" s="8" t="n">
        <v>450</v>
      </c>
    </row>
    <row r="30" customFormat="false" ht="25.35" hidden="false" customHeight="true" outlineLevel="0" collapsed="false">
      <c r="A30" s="2" t="s">
        <v>30</v>
      </c>
      <c r="B30" s="2"/>
    </row>
    <row r="31" customFormat="false" ht="15" hidden="false" customHeight="false" outlineLevel="0" collapsed="false">
      <c r="A31" s="3" t="s">
        <v>31</v>
      </c>
      <c r="B31" s="3" t="s">
        <v>20</v>
      </c>
    </row>
    <row r="32" customFormat="false" ht="15" hidden="false" customHeight="false" outlineLevel="0" collapsed="false">
      <c r="A32" s="7" t="s">
        <v>13</v>
      </c>
      <c r="B32" s="7" t="n">
        <v>100</v>
      </c>
    </row>
    <row r="33" customFormat="false" ht="15" hidden="false" customHeight="false" outlineLevel="0" collapsed="false">
      <c r="A33" s="7" t="s">
        <v>14</v>
      </c>
      <c r="B33" s="7" t="n">
        <v>200</v>
      </c>
    </row>
    <row r="34" customFormat="false" ht="15" hidden="false" customHeight="false" outlineLevel="0" collapsed="false">
      <c r="A34" s="7" t="s">
        <v>15</v>
      </c>
      <c r="B34" s="7" t="n">
        <v>450</v>
      </c>
    </row>
    <row r="35" customFormat="false" ht="15" hidden="false" customHeight="false" outlineLevel="0" collapsed="false">
      <c r="A35" s="7" t="s">
        <v>16</v>
      </c>
      <c r="B35" s="7" t="n">
        <v>0</v>
      </c>
    </row>
    <row r="37" customFormat="false" ht="15" hidden="false" customHeight="true" outlineLevel="0" collapsed="false">
      <c r="A37" s="2" t="s">
        <v>32</v>
      </c>
      <c r="B37" s="2"/>
      <c r="C37" s="2"/>
    </row>
    <row r="38" customFormat="false" ht="15" hidden="false" customHeight="false" outlineLevel="0" collapsed="false">
      <c r="A38" s="3" t="s">
        <v>33</v>
      </c>
      <c r="B38" s="3" t="s">
        <v>18</v>
      </c>
      <c r="C38" s="3" t="s">
        <v>34</v>
      </c>
    </row>
    <row r="39" customFormat="false" ht="15" hidden="false" customHeight="false" outlineLevel="0" collapsed="false">
      <c r="A39" s="7" t="s">
        <v>13</v>
      </c>
      <c r="B39" s="7" t="s">
        <v>21</v>
      </c>
      <c r="C39" s="8" t="n">
        <v>0</v>
      </c>
    </row>
    <row r="40" customFormat="false" ht="15" hidden="false" customHeight="false" outlineLevel="0" collapsed="false">
      <c r="A40" s="7" t="s">
        <v>13</v>
      </c>
      <c r="B40" s="7" t="s">
        <v>22</v>
      </c>
      <c r="C40" s="8" t="n">
        <v>50</v>
      </c>
    </row>
    <row r="41" customFormat="false" ht="15" hidden="false" customHeight="false" outlineLevel="0" collapsed="false">
      <c r="A41" s="7" t="s">
        <v>14</v>
      </c>
      <c r="B41" s="7" t="s">
        <v>23</v>
      </c>
      <c r="C41" s="8" t="n">
        <v>0</v>
      </c>
    </row>
    <row r="42" customFormat="false" ht="15" hidden="false" customHeight="false" outlineLevel="0" collapsed="false">
      <c r="A42" s="7" t="s">
        <v>14</v>
      </c>
      <c r="B42" s="7" t="s">
        <v>24</v>
      </c>
      <c r="C42" s="8" t="n">
        <v>100</v>
      </c>
    </row>
    <row r="43" customFormat="false" ht="15" hidden="false" customHeight="false" outlineLevel="0" collapsed="false">
      <c r="A43" s="7" t="s">
        <v>15</v>
      </c>
      <c r="B43" s="7" t="s">
        <v>25</v>
      </c>
      <c r="C43" s="8" t="n">
        <v>0</v>
      </c>
    </row>
    <row r="44" customFormat="false" ht="15" hidden="false" customHeight="false" outlineLevel="0" collapsed="false">
      <c r="A44" s="7" t="s">
        <v>15</v>
      </c>
      <c r="B44" s="7" t="s">
        <v>26</v>
      </c>
      <c r="C44" s="8" t="n">
        <v>150</v>
      </c>
    </row>
    <row r="45" customFormat="false" ht="15" hidden="false" customHeight="false" outlineLevel="0" collapsed="false">
      <c r="A45" s="7" t="s">
        <v>15</v>
      </c>
      <c r="B45" s="7" t="s">
        <v>27</v>
      </c>
      <c r="C45" s="8" t="n">
        <v>300</v>
      </c>
    </row>
    <row r="46" customFormat="false" ht="15" hidden="false" customHeight="false" outlineLevel="0" collapsed="false">
      <c r="A46" s="7" t="s">
        <v>16</v>
      </c>
      <c r="B46" s="7" t="s">
        <v>28</v>
      </c>
      <c r="C46" s="8" t="n">
        <v>0</v>
      </c>
    </row>
    <row r="47" customFormat="false" ht="15" hidden="false" customHeight="false" outlineLevel="0" collapsed="false">
      <c r="A47" s="7" t="s">
        <v>16</v>
      </c>
      <c r="B47" s="7" t="s">
        <v>29</v>
      </c>
      <c r="C47" s="8" t="n">
        <v>0</v>
      </c>
    </row>
    <row r="49" customFormat="false" ht="15" hidden="false" customHeight="true" outlineLevel="0" collapsed="false">
      <c r="A49" s="2" t="s">
        <v>35</v>
      </c>
      <c r="B49" s="2"/>
      <c r="C49" s="2"/>
      <c r="D49" s="2"/>
      <c r="E49" s="2"/>
    </row>
    <row r="50" customFormat="false" ht="23.85" hidden="false" customHeight="false" outlineLevel="0" collapsed="false">
      <c r="A50" s="3" t="s">
        <v>36</v>
      </c>
      <c r="B50" s="3" t="s">
        <v>37</v>
      </c>
      <c r="C50" s="3" t="s">
        <v>38</v>
      </c>
      <c r="D50" s="3" t="s">
        <v>39</v>
      </c>
      <c r="E50" s="3" t="s">
        <v>40</v>
      </c>
    </row>
    <row r="51" customFormat="false" ht="15" hidden="false" customHeight="false" outlineLevel="0" collapsed="false">
      <c r="A51" s="7" t="s">
        <v>21</v>
      </c>
      <c r="B51" s="7" t="s">
        <v>22</v>
      </c>
      <c r="C51" s="7" t="s">
        <v>41</v>
      </c>
      <c r="D51" s="7" t="s">
        <v>13</v>
      </c>
      <c r="E51" s="8" t="n">
        <v>50</v>
      </c>
    </row>
    <row r="52" customFormat="false" ht="15" hidden="false" customHeight="false" outlineLevel="0" collapsed="false">
      <c r="A52" s="7" t="s">
        <v>22</v>
      </c>
      <c r="B52" s="7" t="s">
        <v>23</v>
      </c>
      <c r="C52" s="7" t="s">
        <v>42</v>
      </c>
      <c r="D52" s="7" t="s">
        <v>14</v>
      </c>
      <c r="E52" s="8" t="n">
        <v>100</v>
      </c>
    </row>
    <row r="53" customFormat="false" ht="15" hidden="false" customHeight="false" outlineLevel="0" collapsed="false">
      <c r="A53" s="7" t="s">
        <v>23</v>
      </c>
      <c r="B53" s="7" t="s">
        <v>24</v>
      </c>
      <c r="C53" s="7" t="s">
        <v>43</v>
      </c>
      <c r="D53" s="7" t="s">
        <v>14</v>
      </c>
      <c r="E53" s="8" t="n">
        <v>100</v>
      </c>
    </row>
    <row r="54" customFormat="false" ht="15" hidden="false" customHeight="false" outlineLevel="0" collapsed="false">
      <c r="A54" s="7" t="s">
        <v>24</v>
      </c>
      <c r="B54" s="7" t="s">
        <v>25</v>
      </c>
      <c r="C54" s="7" t="s">
        <v>44</v>
      </c>
      <c r="D54" s="7" t="s">
        <v>15</v>
      </c>
      <c r="E54" s="8" t="n">
        <v>200</v>
      </c>
    </row>
    <row r="55" customFormat="false" ht="15" hidden="false" customHeight="false" outlineLevel="0" collapsed="false">
      <c r="A55" s="7" t="s">
        <v>25</v>
      </c>
      <c r="B55" s="7" t="s">
        <v>26</v>
      </c>
      <c r="C55" s="7" t="s">
        <v>45</v>
      </c>
      <c r="D55" s="7" t="s">
        <v>15</v>
      </c>
      <c r="E55" s="8" t="n">
        <v>150</v>
      </c>
    </row>
    <row r="56" customFormat="false" ht="23.85" hidden="false" customHeight="false" outlineLevel="0" collapsed="false">
      <c r="A56" s="7" t="s">
        <v>26</v>
      </c>
      <c r="B56" s="7" t="s">
        <v>27</v>
      </c>
      <c r="C56" s="7" t="s">
        <v>46</v>
      </c>
      <c r="D56" s="7" t="s">
        <v>15</v>
      </c>
      <c r="E56" s="8" t="n">
        <v>150</v>
      </c>
    </row>
    <row r="57" customFormat="false" ht="23.85" hidden="false" customHeight="false" outlineLevel="0" collapsed="false">
      <c r="A57" s="7" t="s">
        <v>27</v>
      </c>
      <c r="B57" s="7" t="s">
        <v>28</v>
      </c>
      <c r="C57" s="7" t="s">
        <v>47</v>
      </c>
      <c r="D57" s="7" t="s">
        <v>16</v>
      </c>
      <c r="E57" s="8" t="n">
        <v>450</v>
      </c>
    </row>
    <row r="58" customFormat="false" ht="15" hidden="false" customHeight="false" outlineLevel="0" collapsed="false">
      <c r="A58" s="7" t="s">
        <v>28</v>
      </c>
      <c r="B58" s="7" t="s">
        <v>29</v>
      </c>
      <c r="C58" s="7" t="s">
        <v>48</v>
      </c>
      <c r="D58" s="7" t="s">
        <v>16</v>
      </c>
      <c r="E58" s="8" t="n">
        <v>450</v>
      </c>
    </row>
  </sheetData>
  <mergeCells count="7">
    <mergeCell ref="A1:F1"/>
    <mergeCell ref="A3:B3"/>
    <mergeCell ref="A12:B12"/>
    <mergeCell ref="A19:C19"/>
    <mergeCell ref="A30:B30"/>
    <mergeCell ref="A37:C37"/>
    <mergeCell ref="A49:E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7539062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14"/>
    <col collapsed="false" customWidth="true" hidden="false" outlineLevel="0" max="7" min="7" style="0" width="30"/>
    <col collapsed="false" customWidth="true" hidden="false" outlineLevel="0" max="8" min="8" style="0" width="10"/>
    <col collapsed="false" customWidth="true" hidden="false" outlineLevel="0" max="9" min="9" style="0" width="28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30"/>
    <col collapsed="false" customWidth="true" hidden="false" outlineLevel="0" max="15" min="13" style="0" width="12"/>
    <col collapsed="false" customWidth="true" hidden="false" outlineLevel="0" max="16" min="16" style="0" width="14"/>
    <col collapsed="false" customWidth="true" hidden="false" outlineLevel="0" max="18" min="17" style="0" width="10"/>
    <col collapsed="false" customWidth="true" hidden="false" outlineLevel="0" max="19" min="19" style="0" width="16"/>
    <col collapsed="false" customWidth="true" hidden="false" outlineLevel="0" max="21" min="20" style="0" width="10"/>
    <col collapsed="false" customWidth="true" hidden="false" outlineLevel="0" max="22" min="22" style="0" width="16"/>
    <col collapsed="false" customWidth="true" hidden="false" outlineLevel="0" max="24" min="23" style="0" width="10"/>
    <col collapsed="false" customWidth="true" hidden="false" outlineLevel="0" max="25" min="25" style="0" width="16"/>
    <col collapsed="false" customWidth="true" hidden="false" outlineLevel="0" max="27" min="26" style="0" width="10"/>
    <col collapsed="false" customWidth="true" hidden="false" outlineLevel="0" max="28" min="28" style="0" width="16"/>
    <col collapsed="false" customWidth="true" hidden="false" outlineLevel="0" max="29" min="29" style="0" width="30"/>
    <col collapsed="false" customWidth="true" hidden="false" outlineLevel="0" max="30" min="30" style="0" width="22"/>
  </cols>
  <sheetData>
    <row r="1" customFormat="false" ht="17.35" hidden="false" customHeight="true" outlineLevel="0" collapsed="false">
      <c r="A1" s="1" t="s">
        <v>49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customFormat="false" ht="15" hidden="false" customHeight="true" outlineLevel="0" collapsed="false">
      <c r="A2" s="9" t="s">
        <v>50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</row>
    <row r="4" customFormat="false" ht="30" hidden="false" customHeight="true" outlineLevel="0" collapsed="false">
      <c r="A4" s="3" t="s">
        <v>51</v>
      </c>
      <c r="B4" s="3" t="s">
        <v>52</v>
      </c>
      <c r="C4" s="3" t="s">
        <v>53</v>
      </c>
      <c r="D4" s="3" t="s">
        <v>54</v>
      </c>
      <c r="E4" s="3" t="s">
        <v>55</v>
      </c>
      <c r="F4" s="3" t="s">
        <v>56</v>
      </c>
      <c r="G4" s="3" t="s">
        <v>57</v>
      </c>
      <c r="H4" s="3" t="s">
        <v>18</v>
      </c>
      <c r="I4" s="3" t="s">
        <v>58</v>
      </c>
      <c r="J4" s="3" t="s">
        <v>33</v>
      </c>
      <c r="K4" s="3" t="s">
        <v>59</v>
      </c>
      <c r="L4" s="3" t="s">
        <v>60</v>
      </c>
      <c r="M4" s="3" t="s">
        <v>61</v>
      </c>
      <c r="N4" s="3" t="s">
        <v>62</v>
      </c>
      <c r="O4" s="3" t="s">
        <v>63</v>
      </c>
      <c r="P4" s="3" t="s">
        <v>64</v>
      </c>
      <c r="Q4" s="3" t="s">
        <v>65</v>
      </c>
      <c r="R4" s="3" t="s">
        <v>66</v>
      </c>
      <c r="S4" s="3" t="s">
        <v>67</v>
      </c>
      <c r="T4" s="3" t="s">
        <v>68</v>
      </c>
      <c r="U4" s="3" t="s">
        <v>69</v>
      </c>
      <c r="V4" s="3" t="s">
        <v>70</v>
      </c>
      <c r="W4" s="3" t="s">
        <v>71</v>
      </c>
      <c r="X4" s="3" t="s">
        <v>72</v>
      </c>
      <c r="Y4" s="3" t="s">
        <v>73</v>
      </c>
      <c r="Z4" s="3" t="s">
        <v>74</v>
      </c>
      <c r="AA4" s="3" t="s">
        <v>75</v>
      </c>
      <c r="AB4" s="3" t="s">
        <v>76</v>
      </c>
      <c r="AC4" s="3" t="s">
        <v>77</v>
      </c>
      <c r="AD4" s="3" t="s">
        <v>78</v>
      </c>
    </row>
    <row r="5" customFormat="false" ht="27.75" hidden="false" customHeight="true" outlineLevel="0" collapsed="false">
      <c r="A5" s="7" t="n">
        <v>1</v>
      </c>
      <c r="B5" s="10" t="s">
        <v>79</v>
      </c>
      <c r="C5" s="11" t="s">
        <v>80</v>
      </c>
      <c r="D5" s="10" t="s">
        <v>81</v>
      </c>
      <c r="E5" s="11" t="s">
        <v>82</v>
      </c>
      <c r="F5" s="10" t="s">
        <v>83</v>
      </c>
      <c r="G5" s="11" t="s">
        <v>84</v>
      </c>
      <c r="H5" s="10" t="s">
        <v>22</v>
      </c>
      <c r="I5" s="11" t="s">
        <v>85</v>
      </c>
      <c r="J5" s="10" t="s">
        <v>13</v>
      </c>
      <c r="K5" s="11" t="s">
        <v>86</v>
      </c>
      <c r="L5" s="11" t="s">
        <v>87</v>
      </c>
      <c r="M5" s="12" t="n">
        <v>50</v>
      </c>
      <c r="N5" s="12" t="n">
        <v>0</v>
      </c>
      <c r="O5" s="12" t="n">
        <v>0</v>
      </c>
      <c r="P5" s="13" t="n">
        <f aca="false">M5+N5+O5</f>
        <v>50</v>
      </c>
      <c r="Q5" s="14" t="n">
        <v>2023</v>
      </c>
      <c r="R5" s="14" t="n">
        <v>6</v>
      </c>
      <c r="S5" s="10" t="s">
        <v>4</v>
      </c>
      <c r="T5" s="14" t="n">
        <v>2024</v>
      </c>
      <c r="U5" s="14" t="n">
        <v>12</v>
      </c>
      <c r="V5" s="10" t="s">
        <v>4</v>
      </c>
      <c r="W5" s="14"/>
      <c r="X5" s="14"/>
      <c r="Y5" s="10"/>
      <c r="Z5" s="14"/>
      <c r="AA5" s="14"/>
      <c r="AB5" s="10"/>
      <c r="AC5" s="11" t="s">
        <v>88</v>
      </c>
      <c r="AD5" s="10" t="s">
        <v>89</v>
      </c>
    </row>
    <row r="6" customFormat="false" ht="27.75" hidden="false" customHeight="true" outlineLevel="0" collapsed="false">
      <c r="A6" s="7" t="n">
        <v>2</v>
      </c>
      <c r="B6" s="10"/>
      <c r="C6" s="11"/>
      <c r="D6" s="10"/>
      <c r="E6" s="11"/>
      <c r="F6" s="10"/>
      <c r="G6" s="11"/>
      <c r="H6" s="10"/>
      <c r="I6" s="11"/>
      <c r="J6" s="10"/>
      <c r="K6" s="11"/>
      <c r="L6" s="11"/>
      <c r="M6" s="12"/>
      <c r="N6" s="12"/>
      <c r="O6" s="12"/>
      <c r="P6" s="13" t="str">
        <f aca="false">IF(AND(M6="",N6="",O6=""),"",IFERROR(N(M6)+N(N6)+N(O6),""))</f>
        <v/>
      </c>
      <c r="Q6" s="14"/>
      <c r="R6" s="14"/>
      <c r="S6" s="10"/>
      <c r="T6" s="14"/>
      <c r="U6" s="14"/>
      <c r="V6" s="10"/>
      <c r="W6" s="14"/>
      <c r="X6" s="14"/>
      <c r="Y6" s="10"/>
      <c r="Z6" s="14"/>
      <c r="AA6" s="14"/>
      <c r="AB6" s="10"/>
      <c r="AC6" s="11"/>
      <c r="AD6" s="10"/>
    </row>
    <row r="7" customFormat="false" ht="27.75" hidden="false" customHeight="true" outlineLevel="0" collapsed="false">
      <c r="A7" s="7" t="n">
        <v>3</v>
      </c>
      <c r="B7" s="10"/>
      <c r="C7" s="11"/>
      <c r="D7" s="10"/>
      <c r="E7" s="11"/>
      <c r="F7" s="10"/>
      <c r="G7" s="11"/>
      <c r="H7" s="10"/>
      <c r="I7" s="11"/>
      <c r="J7" s="10"/>
      <c r="K7" s="11"/>
      <c r="L7" s="11"/>
      <c r="M7" s="12"/>
      <c r="N7" s="12"/>
      <c r="O7" s="12"/>
      <c r="P7" s="13" t="str">
        <f aca="false">IF(AND(M7="",N7="",O7=""),"",IFERROR(N(M7)+N(N7)+N(O7),""))</f>
        <v/>
      </c>
      <c r="Q7" s="14"/>
      <c r="R7" s="14"/>
      <c r="S7" s="10"/>
      <c r="T7" s="14"/>
      <c r="U7" s="14"/>
      <c r="V7" s="10"/>
      <c r="W7" s="14"/>
      <c r="X7" s="14"/>
      <c r="Y7" s="10"/>
      <c r="Z7" s="14"/>
      <c r="AA7" s="14"/>
      <c r="AB7" s="10"/>
      <c r="AC7" s="11"/>
      <c r="AD7" s="10"/>
    </row>
    <row r="8" customFormat="false" ht="27.75" hidden="false" customHeight="true" outlineLevel="0" collapsed="false">
      <c r="A8" s="7" t="n">
        <v>4</v>
      </c>
      <c r="B8" s="10"/>
      <c r="C8" s="11"/>
      <c r="D8" s="10"/>
      <c r="E8" s="11"/>
      <c r="F8" s="10"/>
      <c r="G8" s="11"/>
      <c r="H8" s="10"/>
      <c r="I8" s="11"/>
      <c r="J8" s="10"/>
      <c r="K8" s="11"/>
      <c r="L8" s="11"/>
      <c r="M8" s="12"/>
      <c r="N8" s="12"/>
      <c r="O8" s="12"/>
      <c r="P8" s="13" t="str">
        <f aca="false">IF(AND(M8="",N8="",O8=""),"",IFERROR(N(M8)+N(N8)+N(O8),""))</f>
        <v/>
      </c>
      <c r="Q8" s="14"/>
      <c r="R8" s="14"/>
      <c r="S8" s="10"/>
      <c r="T8" s="14"/>
      <c r="U8" s="14"/>
      <c r="V8" s="10"/>
      <c r="W8" s="14"/>
      <c r="X8" s="14"/>
      <c r="Y8" s="10"/>
      <c r="Z8" s="14"/>
      <c r="AA8" s="14"/>
      <c r="AB8" s="10"/>
      <c r="AC8" s="11"/>
      <c r="AD8" s="10"/>
    </row>
    <row r="9" customFormat="false" ht="27.75" hidden="false" customHeight="true" outlineLevel="0" collapsed="false">
      <c r="A9" s="7" t="n">
        <v>5</v>
      </c>
      <c r="B9" s="10"/>
      <c r="C9" s="11"/>
      <c r="D9" s="10"/>
      <c r="E9" s="11"/>
      <c r="F9" s="10"/>
      <c r="G9" s="11"/>
      <c r="H9" s="10"/>
      <c r="I9" s="11"/>
      <c r="J9" s="10"/>
      <c r="K9" s="11"/>
      <c r="L9" s="11"/>
      <c r="M9" s="12"/>
      <c r="N9" s="12"/>
      <c r="O9" s="12"/>
      <c r="P9" s="13" t="str">
        <f aca="false">IF(AND(M9="",N9="",O9=""),"",IFERROR(N(M9)+N(N9)+N(O9),""))</f>
        <v/>
      </c>
      <c r="Q9" s="14"/>
      <c r="R9" s="14"/>
      <c r="S9" s="10"/>
      <c r="T9" s="14"/>
      <c r="U9" s="14"/>
      <c r="V9" s="10"/>
      <c r="W9" s="14"/>
      <c r="X9" s="14"/>
      <c r="Y9" s="10"/>
      <c r="Z9" s="14"/>
      <c r="AA9" s="14"/>
      <c r="AB9" s="10"/>
      <c r="AC9" s="11"/>
      <c r="AD9" s="10"/>
    </row>
    <row r="10" customFormat="false" ht="27.75" hidden="false" customHeight="true" outlineLevel="0" collapsed="false">
      <c r="A10" s="7" t="n">
        <v>6</v>
      </c>
      <c r="B10" s="10"/>
      <c r="C10" s="11"/>
      <c r="D10" s="10"/>
      <c r="E10" s="11"/>
      <c r="F10" s="10"/>
      <c r="G10" s="11"/>
      <c r="H10" s="10"/>
      <c r="I10" s="11"/>
      <c r="J10" s="10"/>
      <c r="K10" s="11"/>
      <c r="L10" s="11"/>
      <c r="M10" s="12"/>
      <c r="N10" s="12"/>
      <c r="O10" s="12"/>
      <c r="P10" s="13" t="str">
        <f aca="false">IF(AND(M10="",N10="",O10=""),"",IFERROR(N(M10)+N(N10)+N(O10),""))</f>
        <v/>
      </c>
      <c r="Q10" s="14"/>
      <c r="R10" s="14"/>
      <c r="S10" s="10"/>
      <c r="T10" s="14"/>
      <c r="U10" s="14"/>
      <c r="V10" s="10"/>
      <c r="W10" s="14"/>
      <c r="X10" s="14"/>
      <c r="Y10" s="10"/>
      <c r="Z10" s="14"/>
      <c r="AA10" s="14"/>
      <c r="AB10" s="10"/>
      <c r="AC10" s="11"/>
      <c r="AD10" s="10"/>
    </row>
    <row r="11" customFormat="false" ht="27.75" hidden="false" customHeight="true" outlineLevel="0" collapsed="false">
      <c r="A11" s="7" t="n">
        <v>7</v>
      </c>
      <c r="B11" s="10"/>
      <c r="C11" s="11"/>
      <c r="D11" s="10"/>
      <c r="E11" s="11"/>
      <c r="F11" s="10"/>
      <c r="G11" s="11"/>
      <c r="H11" s="10"/>
      <c r="I11" s="11"/>
      <c r="J11" s="10"/>
      <c r="K11" s="11"/>
      <c r="L11" s="11"/>
      <c r="M11" s="12"/>
      <c r="N11" s="12"/>
      <c r="O11" s="12"/>
      <c r="P11" s="13" t="str">
        <f aca="false">IF(AND(M11="",N11="",O11=""),"",IFERROR(N(M11)+N(N11)+N(O11),""))</f>
        <v/>
      </c>
      <c r="Q11" s="14"/>
      <c r="R11" s="14"/>
      <c r="S11" s="10"/>
      <c r="T11" s="14"/>
      <c r="U11" s="14"/>
      <c r="V11" s="10"/>
      <c r="W11" s="14"/>
      <c r="X11" s="14"/>
      <c r="Y11" s="10"/>
      <c r="Z11" s="14"/>
      <c r="AA11" s="14"/>
      <c r="AB11" s="10"/>
      <c r="AC11" s="11"/>
      <c r="AD11" s="10"/>
    </row>
    <row r="12" customFormat="false" ht="27.75" hidden="false" customHeight="true" outlineLevel="0" collapsed="false">
      <c r="A12" s="7" t="n">
        <v>8</v>
      </c>
      <c r="B12" s="10"/>
      <c r="C12" s="11"/>
      <c r="D12" s="10"/>
      <c r="E12" s="11"/>
      <c r="F12" s="10"/>
      <c r="G12" s="11"/>
      <c r="H12" s="10"/>
      <c r="I12" s="11"/>
      <c r="J12" s="10"/>
      <c r="K12" s="11"/>
      <c r="L12" s="11"/>
      <c r="M12" s="12"/>
      <c r="N12" s="12"/>
      <c r="O12" s="12"/>
      <c r="P12" s="13" t="str">
        <f aca="false">IF(AND(M12="",N12="",O12=""),"",IFERROR(N(M12)+N(N12)+N(O12),""))</f>
        <v/>
      </c>
      <c r="Q12" s="14"/>
      <c r="R12" s="14"/>
      <c r="S12" s="10"/>
      <c r="T12" s="14"/>
      <c r="U12" s="14"/>
      <c r="V12" s="10"/>
      <c r="W12" s="14"/>
      <c r="X12" s="14"/>
      <c r="Y12" s="10"/>
      <c r="Z12" s="14"/>
      <c r="AA12" s="14"/>
      <c r="AB12" s="10"/>
      <c r="AC12" s="11"/>
      <c r="AD12" s="10"/>
    </row>
    <row r="13" customFormat="false" ht="27.75" hidden="false" customHeight="true" outlineLevel="0" collapsed="false">
      <c r="A13" s="7" t="n">
        <v>9</v>
      </c>
      <c r="B13" s="10"/>
      <c r="C13" s="11"/>
      <c r="D13" s="10"/>
      <c r="E13" s="11"/>
      <c r="F13" s="10"/>
      <c r="G13" s="11"/>
      <c r="H13" s="10"/>
      <c r="I13" s="11"/>
      <c r="J13" s="10"/>
      <c r="K13" s="11"/>
      <c r="L13" s="11"/>
      <c r="M13" s="12"/>
      <c r="N13" s="12"/>
      <c r="O13" s="12"/>
      <c r="P13" s="13" t="str">
        <f aca="false">IF(AND(M13="",N13="",O13=""),"",IFERROR(N(M13)+N(N13)+N(O13),""))</f>
        <v/>
      </c>
      <c r="Q13" s="14"/>
      <c r="R13" s="14"/>
      <c r="S13" s="10"/>
      <c r="T13" s="14"/>
      <c r="U13" s="14"/>
      <c r="V13" s="10"/>
      <c r="W13" s="14"/>
      <c r="X13" s="14"/>
      <c r="Y13" s="10"/>
      <c r="Z13" s="14"/>
      <c r="AA13" s="14"/>
      <c r="AB13" s="10"/>
      <c r="AC13" s="11"/>
      <c r="AD13" s="10"/>
    </row>
    <row r="14" customFormat="false" ht="27.75" hidden="false" customHeight="true" outlineLevel="0" collapsed="false">
      <c r="A14" s="7" t="n">
        <v>10</v>
      </c>
      <c r="B14" s="10"/>
      <c r="C14" s="11"/>
      <c r="D14" s="10"/>
      <c r="E14" s="11"/>
      <c r="F14" s="10"/>
      <c r="G14" s="11"/>
      <c r="H14" s="10"/>
      <c r="I14" s="11"/>
      <c r="J14" s="10"/>
      <c r="K14" s="11"/>
      <c r="L14" s="11"/>
      <c r="M14" s="12"/>
      <c r="N14" s="12"/>
      <c r="O14" s="12"/>
      <c r="P14" s="13" t="str">
        <f aca="false">IF(AND(M14="",N14="",O14=""),"",IFERROR(N(M14)+N(N14)+N(O14),""))</f>
        <v/>
      </c>
      <c r="Q14" s="14"/>
      <c r="R14" s="14"/>
      <c r="S14" s="10"/>
      <c r="T14" s="14"/>
      <c r="U14" s="14"/>
      <c r="V14" s="10"/>
      <c r="W14" s="14"/>
      <c r="X14" s="14"/>
      <c r="Y14" s="10"/>
      <c r="Z14" s="14"/>
      <c r="AA14" s="14"/>
      <c r="AB14" s="10"/>
      <c r="AC14" s="11"/>
      <c r="AD14" s="10"/>
    </row>
    <row r="15" customFormat="false" ht="27.75" hidden="false" customHeight="true" outlineLevel="0" collapsed="false">
      <c r="A15" s="7" t="n">
        <v>11</v>
      </c>
      <c r="B15" s="10"/>
      <c r="C15" s="11"/>
      <c r="D15" s="10"/>
      <c r="E15" s="11"/>
      <c r="F15" s="10"/>
      <c r="G15" s="11"/>
      <c r="H15" s="10"/>
      <c r="I15" s="11"/>
      <c r="J15" s="10"/>
      <c r="K15" s="11"/>
      <c r="L15" s="11"/>
      <c r="M15" s="12"/>
      <c r="N15" s="12"/>
      <c r="O15" s="12"/>
      <c r="P15" s="13" t="str">
        <f aca="false">IF(AND(M15="",N15="",O15=""),"",IFERROR(N(M15)+N(N15)+N(O15),""))</f>
        <v/>
      </c>
      <c r="Q15" s="14"/>
      <c r="R15" s="14"/>
      <c r="S15" s="10"/>
      <c r="T15" s="14"/>
      <c r="U15" s="14"/>
      <c r="V15" s="10"/>
      <c r="W15" s="14"/>
      <c r="X15" s="14"/>
      <c r="Y15" s="10"/>
      <c r="Z15" s="14"/>
      <c r="AA15" s="14"/>
      <c r="AB15" s="10"/>
      <c r="AC15" s="11"/>
      <c r="AD15" s="10"/>
    </row>
    <row r="16" customFormat="false" ht="27.75" hidden="false" customHeight="true" outlineLevel="0" collapsed="false">
      <c r="A16" s="7" t="n">
        <v>12</v>
      </c>
      <c r="B16" s="10"/>
      <c r="C16" s="11"/>
      <c r="D16" s="10"/>
      <c r="E16" s="11"/>
      <c r="F16" s="10"/>
      <c r="G16" s="11"/>
      <c r="H16" s="10"/>
      <c r="I16" s="11"/>
      <c r="J16" s="10"/>
      <c r="K16" s="11"/>
      <c r="L16" s="11"/>
      <c r="M16" s="12"/>
      <c r="N16" s="12"/>
      <c r="O16" s="12"/>
      <c r="P16" s="13" t="str">
        <f aca="false">IF(AND(M16="",N16="",O16=""),"",IFERROR(N(M16)+N(N16)+N(O16),""))</f>
        <v/>
      </c>
      <c r="Q16" s="14"/>
      <c r="R16" s="14"/>
      <c r="S16" s="10"/>
      <c r="T16" s="14"/>
      <c r="U16" s="14"/>
      <c r="V16" s="10"/>
      <c r="W16" s="14"/>
      <c r="X16" s="14"/>
      <c r="Y16" s="10"/>
      <c r="Z16" s="14"/>
      <c r="AA16" s="14"/>
      <c r="AB16" s="10"/>
      <c r="AC16" s="11"/>
      <c r="AD16" s="10"/>
    </row>
    <row r="17" customFormat="false" ht="27.75" hidden="false" customHeight="true" outlineLevel="0" collapsed="false">
      <c r="A17" s="7" t="n">
        <v>13</v>
      </c>
      <c r="B17" s="10"/>
      <c r="C17" s="11"/>
      <c r="D17" s="10"/>
      <c r="E17" s="11"/>
      <c r="F17" s="10"/>
      <c r="G17" s="11"/>
      <c r="H17" s="10"/>
      <c r="I17" s="11"/>
      <c r="J17" s="10"/>
      <c r="K17" s="11"/>
      <c r="L17" s="11"/>
      <c r="M17" s="12"/>
      <c r="N17" s="12"/>
      <c r="O17" s="12"/>
      <c r="P17" s="13" t="str">
        <f aca="false">IF(AND(M17="",N17="",O17=""),"",IFERROR(N(M17)+N(N17)+N(O17),""))</f>
        <v/>
      </c>
      <c r="Q17" s="14"/>
      <c r="R17" s="14"/>
      <c r="S17" s="10"/>
      <c r="T17" s="14"/>
      <c r="U17" s="14"/>
      <c r="V17" s="10"/>
      <c r="W17" s="14"/>
      <c r="X17" s="14"/>
      <c r="Y17" s="10"/>
      <c r="Z17" s="14"/>
      <c r="AA17" s="14"/>
      <c r="AB17" s="10"/>
      <c r="AC17" s="11"/>
      <c r="AD17" s="10"/>
    </row>
    <row r="18" customFormat="false" ht="27.75" hidden="false" customHeight="true" outlineLevel="0" collapsed="false">
      <c r="A18" s="7" t="n">
        <v>14</v>
      </c>
      <c r="B18" s="10"/>
      <c r="C18" s="11"/>
      <c r="D18" s="10"/>
      <c r="E18" s="11"/>
      <c r="F18" s="10"/>
      <c r="G18" s="11"/>
      <c r="H18" s="10"/>
      <c r="I18" s="11"/>
      <c r="J18" s="10"/>
      <c r="K18" s="11"/>
      <c r="L18" s="11"/>
      <c r="M18" s="12"/>
      <c r="N18" s="12"/>
      <c r="O18" s="12"/>
      <c r="P18" s="13" t="str">
        <f aca="false">IF(AND(M18="",N18="",O18=""),"",IFERROR(N(M18)+N(N18)+N(O18),""))</f>
        <v/>
      </c>
      <c r="Q18" s="14"/>
      <c r="R18" s="14"/>
      <c r="S18" s="10"/>
      <c r="T18" s="14"/>
      <c r="U18" s="14"/>
      <c r="V18" s="10"/>
      <c r="W18" s="14"/>
      <c r="X18" s="14"/>
      <c r="Y18" s="10"/>
      <c r="Z18" s="14"/>
      <c r="AA18" s="14"/>
      <c r="AB18" s="10"/>
      <c r="AC18" s="11"/>
      <c r="AD18" s="10"/>
    </row>
    <row r="19" customFormat="false" ht="27.75" hidden="false" customHeight="true" outlineLevel="0" collapsed="false">
      <c r="A19" s="7" t="n">
        <v>15</v>
      </c>
      <c r="B19" s="10"/>
      <c r="C19" s="11"/>
      <c r="D19" s="10"/>
      <c r="E19" s="11"/>
      <c r="F19" s="10"/>
      <c r="G19" s="11"/>
      <c r="H19" s="10"/>
      <c r="I19" s="11"/>
      <c r="J19" s="10"/>
      <c r="K19" s="11"/>
      <c r="L19" s="11"/>
      <c r="M19" s="12"/>
      <c r="N19" s="12"/>
      <c r="O19" s="12"/>
      <c r="P19" s="13" t="str">
        <f aca="false">IF(AND(M19="",N19="",O19=""),"",IFERROR(N(M19)+N(N19)+N(O19),""))</f>
        <v/>
      </c>
      <c r="Q19" s="14"/>
      <c r="R19" s="14"/>
      <c r="S19" s="10"/>
      <c r="T19" s="14"/>
      <c r="U19" s="14"/>
      <c r="V19" s="10"/>
      <c r="W19" s="14"/>
      <c r="X19" s="14"/>
      <c r="Y19" s="10"/>
      <c r="Z19" s="14"/>
      <c r="AA19" s="14"/>
      <c r="AB19" s="10"/>
      <c r="AC19" s="11"/>
      <c r="AD19" s="10"/>
    </row>
    <row r="20" customFormat="false" ht="27.75" hidden="false" customHeight="true" outlineLevel="0" collapsed="false">
      <c r="A20" s="7" t="n">
        <v>16</v>
      </c>
      <c r="B20" s="10"/>
      <c r="C20" s="11"/>
      <c r="D20" s="10"/>
      <c r="E20" s="11"/>
      <c r="F20" s="10"/>
      <c r="G20" s="11"/>
      <c r="H20" s="10"/>
      <c r="I20" s="11"/>
      <c r="J20" s="10"/>
      <c r="K20" s="11"/>
      <c r="L20" s="11"/>
      <c r="M20" s="12"/>
      <c r="N20" s="12"/>
      <c r="O20" s="12"/>
      <c r="P20" s="13" t="str">
        <f aca="false">IF(AND(M20="",N20="",O20=""),"",IFERROR(N(M20)+N(N20)+N(O20),""))</f>
        <v/>
      </c>
      <c r="Q20" s="14"/>
      <c r="R20" s="14"/>
      <c r="S20" s="10"/>
      <c r="T20" s="14"/>
      <c r="U20" s="14"/>
      <c r="V20" s="10"/>
      <c r="W20" s="14"/>
      <c r="X20" s="14"/>
      <c r="Y20" s="10"/>
      <c r="Z20" s="14"/>
      <c r="AA20" s="14"/>
      <c r="AB20" s="10"/>
      <c r="AC20" s="11"/>
      <c r="AD20" s="10"/>
    </row>
    <row r="21" customFormat="false" ht="27.75" hidden="false" customHeight="true" outlineLevel="0" collapsed="false">
      <c r="A21" s="7" t="n">
        <v>17</v>
      </c>
      <c r="B21" s="10"/>
      <c r="C21" s="11"/>
      <c r="D21" s="10"/>
      <c r="E21" s="11"/>
      <c r="F21" s="10"/>
      <c r="G21" s="11"/>
      <c r="H21" s="10"/>
      <c r="I21" s="11"/>
      <c r="J21" s="10"/>
      <c r="K21" s="11"/>
      <c r="L21" s="11"/>
      <c r="M21" s="12"/>
      <c r="N21" s="12"/>
      <c r="O21" s="12"/>
      <c r="P21" s="13" t="str">
        <f aca="false">IF(AND(M21="",N21="",O21=""),"",IFERROR(N(M21)+N(N21)+N(O21),""))</f>
        <v/>
      </c>
      <c r="Q21" s="14"/>
      <c r="R21" s="14"/>
      <c r="S21" s="10"/>
      <c r="T21" s="14"/>
      <c r="U21" s="14"/>
      <c r="V21" s="10"/>
      <c r="W21" s="14"/>
      <c r="X21" s="14"/>
      <c r="Y21" s="10"/>
      <c r="Z21" s="14"/>
      <c r="AA21" s="14"/>
      <c r="AB21" s="10"/>
      <c r="AC21" s="11"/>
      <c r="AD21" s="10"/>
    </row>
    <row r="22" customFormat="false" ht="27.75" hidden="false" customHeight="true" outlineLevel="0" collapsed="false">
      <c r="A22" s="7" t="n">
        <v>18</v>
      </c>
      <c r="B22" s="10"/>
      <c r="C22" s="11"/>
      <c r="D22" s="10"/>
      <c r="E22" s="11"/>
      <c r="F22" s="10"/>
      <c r="G22" s="11"/>
      <c r="H22" s="10"/>
      <c r="I22" s="11"/>
      <c r="J22" s="10"/>
      <c r="K22" s="11"/>
      <c r="L22" s="11"/>
      <c r="M22" s="12"/>
      <c r="N22" s="12"/>
      <c r="O22" s="12"/>
      <c r="P22" s="13" t="str">
        <f aca="false">IF(AND(M22="",N22="",O22=""),"",IFERROR(N(M22)+N(N22)+N(O22),""))</f>
        <v/>
      </c>
      <c r="Q22" s="14"/>
      <c r="R22" s="14"/>
      <c r="S22" s="10"/>
      <c r="T22" s="14"/>
      <c r="U22" s="14"/>
      <c r="V22" s="10"/>
      <c r="W22" s="14"/>
      <c r="X22" s="14"/>
      <c r="Y22" s="10"/>
      <c r="Z22" s="14"/>
      <c r="AA22" s="14"/>
      <c r="AB22" s="10"/>
      <c r="AC22" s="11"/>
      <c r="AD22" s="10"/>
    </row>
    <row r="23" customFormat="false" ht="27.75" hidden="false" customHeight="true" outlineLevel="0" collapsed="false">
      <c r="A23" s="7" t="n">
        <v>19</v>
      </c>
      <c r="B23" s="10"/>
      <c r="C23" s="11"/>
      <c r="D23" s="10"/>
      <c r="E23" s="11"/>
      <c r="F23" s="10"/>
      <c r="G23" s="11"/>
      <c r="H23" s="10"/>
      <c r="I23" s="11"/>
      <c r="J23" s="10"/>
      <c r="K23" s="11"/>
      <c r="L23" s="11"/>
      <c r="M23" s="12"/>
      <c r="N23" s="12"/>
      <c r="O23" s="12"/>
      <c r="P23" s="13" t="str">
        <f aca="false">IF(AND(M23="",N23="",O23=""),"",IFERROR(N(M23)+N(N23)+N(O23),""))</f>
        <v/>
      </c>
      <c r="Q23" s="14"/>
      <c r="R23" s="14"/>
      <c r="S23" s="10"/>
      <c r="T23" s="14"/>
      <c r="U23" s="14"/>
      <c r="V23" s="10"/>
      <c r="W23" s="14"/>
      <c r="X23" s="14"/>
      <c r="Y23" s="10"/>
      <c r="Z23" s="14"/>
      <c r="AA23" s="14"/>
      <c r="AB23" s="10"/>
      <c r="AC23" s="11"/>
      <c r="AD23" s="10"/>
    </row>
    <row r="24" customFormat="false" ht="27.75" hidden="false" customHeight="true" outlineLevel="0" collapsed="false">
      <c r="A24" s="7" t="n">
        <v>20</v>
      </c>
      <c r="B24" s="10"/>
      <c r="C24" s="11"/>
      <c r="D24" s="10"/>
      <c r="E24" s="11"/>
      <c r="F24" s="10"/>
      <c r="G24" s="11"/>
      <c r="H24" s="10"/>
      <c r="I24" s="11"/>
      <c r="J24" s="10"/>
      <c r="K24" s="11"/>
      <c r="L24" s="11"/>
      <c r="M24" s="12"/>
      <c r="N24" s="12"/>
      <c r="O24" s="12"/>
      <c r="P24" s="13" t="str">
        <f aca="false">IF(AND(M24="",N24="",O24=""),"",IFERROR(N(M24)+N(N24)+N(O24),""))</f>
        <v/>
      </c>
      <c r="Q24" s="14"/>
      <c r="R24" s="14"/>
      <c r="S24" s="10"/>
      <c r="T24" s="14"/>
      <c r="U24" s="14"/>
      <c r="V24" s="10"/>
      <c r="W24" s="14"/>
      <c r="X24" s="14"/>
      <c r="Y24" s="10"/>
      <c r="Z24" s="14"/>
      <c r="AA24" s="14"/>
      <c r="AB24" s="10"/>
      <c r="AC24" s="11"/>
      <c r="AD24" s="10"/>
    </row>
    <row r="25" customFormat="false" ht="27.75" hidden="false" customHeight="true" outlineLevel="0" collapsed="false">
      <c r="A25" s="7" t="n">
        <v>21</v>
      </c>
      <c r="B25" s="10"/>
      <c r="C25" s="11"/>
      <c r="D25" s="10"/>
      <c r="E25" s="11"/>
      <c r="F25" s="10"/>
      <c r="G25" s="11"/>
      <c r="H25" s="10"/>
      <c r="I25" s="11"/>
      <c r="J25" s="10"/>
      <c r="K25" s="11"/>
      <c r="L25" s="11"/>
      <c r="M25" s="12"/>
      <c r="N25" s="12"/>
      <c r="O25" s="12"/>
      <c r="P25" s="13" t="str">
        <f aca="false">IF(AND(M25="",N25="",O25=""),"",IFERROR(N(M25)+N(N25)+N(O25),""))</f>
        <v/>
      </c>
      <c r="Q25" s="14"/>
      <c r="R25" s="14"/>
      <c r="S25" s="10"/>
      <c r="T25" s="14"/>
      <c r="U25" s="14"/>
      <c r="V25" s="10"/>
      <c r="W25" s="14"/>
      <c r="X25" s="14"/>
      <c r="Y25" s="10"/>
      <c r="Z25" s="14"/>
      <c r="AA25" s="14"/>
      <c r="AB25" s="10"/>
      <c r="AC25" s="11"/>
      <c r="AD25" s="10"/>
    </row>
    <row r="26" customFormat="false" ht="27.75" hidden="false" customHeight="true" outlineLevel="0" collapsed="false">
      <c r="A26" s="7" t="n">
        <v>22</v>
      </c>
      <c r="B26" s="10"/>
      <c r="C26" s="11"/>
      <c r="D26" s="10"/>
      <c r="E26" s="11"/>
      <c r="F26" s="10"/>
      <c r="G26" s="11"/>
      <c r="H26" s="10"/>
      <c r="I26" s="11"/>
      <c r="J26" s="10"/>
      <c r="K26" s="11"/>
      <c r="L26" s="11"/>
      <c r="M26" s="12"/>
      <c r="N26" s="12"/>
      <c r="O26" s="12"/>
      <c r="P26" s="13" t="str">
        <f aca="false">IF(AND(M26="",N26="",O26=""),"",IFERROR(N(M26)+N(N26)+N(O26),""))</f>
        <v/>
      </c>
      <c r="Q26" s="14"/>
      <c r="R26" s="14"/>
      <c r="S26" s="10"/>
      <c r="T26" s="14"/>
      <c r="U26" s="14"/>
      <c r="V26" s="10"/>
      <c r="W26" s="14"/>
      <c r="X26" s="14"/>
      <c r="Y26" s="10"/>
      <c r="Z26" s="14"/>
      <c r="AA26" s="14"/>
      <c r="AB26" s="10"/>
      <c r="AC26" s="11"/>
      <c r="AD26" s="10"/>
    </row>
    <row r="27" customFormat="false" ht="27.75" hidden="false" customHeight="true" outlineLevel="0" collapsed="false">
      <c r="A27" s="7" t="n">
        <v>23</v>
      </c>
      <c r="B27" s="10"/>
      <c r="C27" s="11"/>
      <c r="D27" s="10"/>
      <c r="E27" s="11"/>
      <c r="F27" s="10"/>
      <c r="G27" s="11"/>
      <c r="H27" s="10"/>
      <c r="I27" s="11"/>
      <c r="J27" s="10"/>
      <c r="K27" s="11"/>
      <c r="L27" s="11"/>
      <c r="M27" s="12"/>
      <c r="N27" s="12"/>
      <c r="O27" s="12"/>
      <c r="P27" s="13" t="str">
        <f aca="false">IF(AND(M27="",N27="",O27=""),"",IFERROR(N(M27)+N(N27)+N(O27),""))</f>
        <v/>
      </c>
      <c r="Q27" s="14"/>
      <c r="R27" s="14"/>
      <c r="S27" s="10"/>
      <c r="T27" s="14"/>
      <c r="U27" s="14"/>
      <c r="V27" s="10"/>
      <c r="W27" s="14"/>
      <c r="X27" s="14"/>
      <c r="Y27" s="10"/>
      <c r="Z27" s="14"/>
      <c r="AA27" s="14"/>
      <c r="AB27" s="10"/>
      <c r="AC27" s="11"/>
      <c r="AD27" s="10"/>
    </row>
    <row r="28" customFormat="false" ht="27.75" hidden="false" customHeight="true" outlineLevel="0" collapsed="false">
      <c r="A28" s="7" t="n">
        <v>24</v>
      </c>
      <c r="B28" s="10"/>
      <c r="C28" s="11"/>
      <c r="D28" s="10"/>
      <c r="E28" s="11"/>
      <c r="F28" s="10"/>
      <c r="G28" s="11"/>
      <c r="H28" s="10"/>
      <c r="I28" s="11"/>
      <c r="J28" s="10"/>
      <c r="K28" s="11"/>
      <c r="L28" s="11"/>
      <c r="M28" s="12"/>
      <c r="N28" s="12"/>
      <c r="O28" s="12"/>
      <c r="P28" s="13" t="str">
        <f aca="false">IF(AND(M28="",N28="",O28=""),"",IFERROR(N(M28)+N(N28)+N(O28),""))</f>
        <v/>
      </c>
      <c r="Q28" s="14"/>
      <c r="R28" s="14"/>
      <c r="S28" s="10"/>
      <c r="T28" s="14"/>
      <c r="U28" s="14"/>
      <c r="V28" s="10"/>
      <c r="W28" s="14"/>
      <c r="X28" s="14"/>
      <c r="Y28" s="10"/>
      <c r="Z28" s="14"/>
      <c r="AA28" s="14"/>
      <c r="AB28" s="10"/>
      <c r="AC28" s="11"/>
      <c r="AD28" s="10"/>
    </row>
    <row r="29" customFormat="false" ht="27.75" hidden="false" customHeight="true" outlineLevel="0" collapsed="false">
      <c r="A29" s="7" t="n">
        <v>25</v>
      </c>
      <c r="B29" s="10"/>
      <c r="C29" s="11"/>
      <c r="D29" s="10"/>
      <c r="E29" s="11"/>
      <c r="F29" s="10"/>
      <c r="G29" s="11"/>
      <c r="H29" s="10"/>
      <c r="I29" s="11"/>
      <c r="J29" s="10"/>
      <c r="K29" s="11"/>
      <c r="L29" s="11"/>
      <c r="M29" s="12"/>
      <c r="N29" s="12"/>
      <c r="O29" s="12"/>
      <c r="P29" s="13" t="str">
        <f aca="false">IF(AND(M29="",N29="",O29=""),"",IFERROR(N(M29)+N(N29)+N(O29),""))</f>
        <v/>
      </c>
      <c r="Q29" s="14"/>
      <c r="R29" s="14"/>
      <c r="S29" s="10"/>
      <c r="T29" s="14"/>
      <c r="U29" s="14"/>
      <c r="V29" s="10"/>
      <c r="W29" s="14"/>
      <c r="X29" s="14"/>
      <c r="Y29" s="10"/>
      <c r="Z29" s="14"/>
      <c r="AA29" s="14"/>
      <c r="AB29" s="10"/>
      <c r="AC29" s="11"/>
      <c r="AD29" s="10"/>
    </row>
    <row r="30" customFormat="false" ht="27.75" hidden="false" customHeight="true" outlineLevel="0" collapsed="false">
      <c r="A30" s="7" t="n">
        <v>26</v>
      </c>
      <c r="B30" s="10"/>
      <c r="C30" s="11"/>
      <c r="D30" s="10"/>
      <c r="E30" s="11"/>
      <c r="F30" s="10"/>
      <c r="G30" s="11"/>
      <c r="H30" s="10"/>
      <c r="I30" s="11"/>
      <c r="J30" s="10"/>
      <c r="K30" s="11"/>
      <c r="L30" s="11"/>
      <c r="M30" s="12"/>
      <c r="N30" s="12"/>
      <c r="O30" s="12"/>
      <c r="P30" s="13" t="str">
        <f aca="false">IF(AND(M30="",N30="",O30=""),"",IFERROR(N(M30)+N(N30)+N(O30),""))</f>
        <v/>
      </c>
      <c r="Q30" s="14"/>
      <c r="R30" s="14"/>
      <c r="S30" s="10"/>
      <c r="T30" s="14"/>
      <c r="U30" s="14"/>
      <c r="V30" s="10"/>
      <c r="W30" s="14"/>
      <c r="X30" s="14"/>
      <c r="Y30" s="10"/>
      <c r="Z30" s="14"/>
      <c r="AA30" s="14"/>
      <c r="AB30" s="10"/>
      <c r="AC30" s="11"/>
      <c r="AD30" s="10"/>
    </row>
    <row r="31" customFormat="false" ht="27.75" hidden="false" customHeight="true" outlineLevel="0" collapsed="false">
      <c r="A31" s="7" t="n">
        <v>27</v>
      </c>
      <c r="B31" s="10"/>
      <c r="C31" s="11"/>
      <c r="D31" s="10"/>
      <c r="E31" s="11"/>
      <c r="F31" s="10"/>
      <c r="G31" s="11"/>
      <c r="H31" s="10"/>
      <c r="I31" s="11"/>
      <c r="J31" s="10"/>
      <c r="K31" s="11"/>
      <c r="L31" s="11"/>
      <c r="M31" s="12"/>
      <c r="N31" s="12"/>
      <c r="O31" s="12"/>
      <c r="P31" s="13" t="str">
        <f aca="false">IF(AND(M31="",N31="",O31=""),"",IFERROR(N(M31)+N(N31)+N(O31),""))</f>
        <v/>
      </c>
      <c r="Q31" s="14"/>
      <c r="R31" s="14"/>
      <c r="S31" s="10"/>
      <c r="T31" s="14"/>
      <c r="U31" s="14"/>
      <c r="V31" s="10"/>
      <c r="W31" s="14"/>
      <c r="X31" s="14"/>
      <c r="Y31" s="10"/>
      <c r="Z31" s="14"/>
      <c r="AA31" s="14"/>
      <c r="AB31" s="10"/>
      <c r="AC31" s="11"/>
      <c r="AD31" s="10"/>
    </row>
    <row r="32" customFormat="false" ht="27.75" hidden="false" customHeight="true" outlineLevel="0" collapsed="false">
      <c r="A32" s="7" t="n">
        <v>28</v>
      </c>
      <c r="B32" s="10"/>
      <c r="C32" s="11"/>
      <c r="D32" s="10"/>
      <c r="E32" s="11"/>
      <c r="F32" s="10"/>
      <c r="G32" s="11"/>
      <c r="H32" s="10"/>
      <c r="I32" s="11"/>
      <c r="J32" s="10"/>
      <c r="K32" s="11"/>
      <c r="L32" s="11"/>
      <c r="M32" s="12"/>
      <c r="N32" s="12"/>
      <c r="O32" s="12"/>
      <c r="P32" s="13" t="str">
        <f aca="false">IF(AND(M32="",N32="",O32=""),"",IFERROR(N(M32)+N(N32)+N(O32),""))</f>
        <v/>
      </c>
      <c r="Q32" s="14"/>
      <c r="R32" s="14"/>
      <c r="S32" s="10"/>
      <c r="T32" s="14"/>
      <c r="U32" s="14"/>
      <c r="V32" s="10"/>
      <c r="W32" s="14"/>
      <c r="X32" s="14"/>
      <c r="Y32" s="10"/>
      <c r="Z32" s="14"/>
      <c r="AA32" s="14"/>
      <c r="AB32" s="10"/>
      <c r="AC32" s="11"/>
      <c r="AD32" s="10"/>
    </row>
    <row r="33" customFormat="false" ht="27.75" hidden="false" customHeight="true" outlineLevel="0" collapsed="false">
      <c r="A33" s="7" t="n">
        <v>29</v>
      </c>
      <c r="B33" s="10"/>
      <c r="C33" s="11"/>
      <c r="D33" s="10"/>
      <c r="E33" s="11"/>
      <c r="F33" s="10"/>
      <c r="G33" s="11"/>
      <c r="H33" s="10"/>
      <c r="I33" s="11"/>
      <c r="J33" s="10"/>
      <c r="K33" s="11"/>
      <c r="L33" s="11"/>
      <c r="M33" s="12"/>
      <c r="N33" s="12"/>
      <c r="O33" s="12"/>
      <c r="P33" s="13" t="str">
        <f aca="false">IF(AND(M33="",N33="",O33=""),"",IFERROR(N(M33)+N(N33)+N(O33),""))</f>
        <v/>
      </c>
      <c r="Q33" s="14"/>
      <c r="R33" s="14"/>
      <c r="S33" s="10"/>
      <c r="T33" s="14"/>
      <c r="U33" s="14"/>
      <c r="V33" s="10"/>
      <c r="W33" s="14"/>
      <c r="X33" s="14"/>
      <c r="Y33" s="10"/>
      <c r="Z33" s="14"/>
      <c r="AA33" s="14"/>
      <c r="AB33" s="10"/>
      <c r="AC33" s="11"/>
      <c r="AD33" s="10"/>
    </row>
    <row r="34" customFormat="false" ht="27.75" hidden="false" customHeight="true" outlineLevel="0" collapsed="false">
      <c r="A34" s="7" t="n">
        <v>30</v>
      </c>
      <c r="B34" s="10"/>
      <c r="C34" s="11"/>
      <c r="D34" s="10"/>
      <c r="E34" s="11"/>
      <c r="F34" s="10"/>
      <c r="G34" s="11"/>
      <c r="H34" s="10"/>
      <c r="I34" s="11"/>
      <c r="J34" s="10"/>
      <c r="K34" s="11"/>
      <c r="L34" s="11"/>
      <c r="M34" s="12"/>
      <c r="N34" s="12"/>
      <c r="O34" s="12"/>
      <c r="P34" s="13" t="str">
        <f aca="false">IF(AND(M34="",N34="",O34=""),"",IFERROR(N(M34)+N(N34)+N(O34),""))</f>
        <v/>
      </c>
      <c r="Q34" s="14"/>
      <c r="R34" s="14"/>
      <c r="S34" s="10"/>
      <c r="T34" s="14"/>
      <c r="U34" s="14"/>
      <c r="V34" s="10"/>
      <c r="W34" s="14"/>
      <c r="X34" s="14"/>
      <c r="Y34" s="10"/>
      <c r="Z34" s="14"/>
      <c r="AA34" s="14"/>
      <c r="AB34" s="10"/>
      <c r="AC34" s="11"/>
      <c r="AD34" s="10"/>
    </row>
  </sheetData>
  <mergeCells count="2">
    <mergeCell ref="A1:AD1"/>
    <mergeCell ref="A2:AD2"/>
  </mergeCells>
  <dataValidations count="5">
    <dataValidation allowBlank="true" errorStyle="stop" operator="between" showDropDown="false" showErrorMessage="false" showInputMessage="false" sqref="J5:J34" type="list">
      <formula1>tbl_jenjang_nama</formula1>
      <formula2>0</formula2>
    </dataValidation>
    <dataValidation allowBlank="true" errorStyle="stop" operator="between" showDropDown="false" showErrorMessage="false" showInputMessage="false" sqref="S5:S34 V5:V34 Y5:Y34 AB5:AB34" type="list">
      <formula1>tbl_predikat_nama</formula1>
      <formula2>0</formula2>
    </dataValidation>
    <dataValidation allowBlank="true" errorStyle="stop" operator="between" showDropDown="false" showErrorMessage="false" showInputMessage="false" sqref="H5:H34" type="list">
      <formula1>"III/a,III/b,III/c,III/d,IV/a,IV/b,IV/c,IV/d,IV/e"</formula1>
      <formula2>0</formula2>
    </dataValidation>
    <dataValidation allowBlank="true" errorStyle="stop" operator="between" showDropDown="false" showErrorMessage="false" showInputMessage="false" sqref="F5:F34" type="list">
      <formula1>"LAKI-LAKI,PEREMPUAN"</formula1>
      <formula2>0</formula2>
    </dataValidation>
    <dataValidation allowBlank="true" error="Bulan harus 0-12" errorStyle="stop" errorTitle="Input salah" operator="between" showDropDown="false" showErrorMessage="false" showInputMessage="false" sqref="R5:R34 U5:U34 X5:X34 AA5:AA34" type="whole">
      <formula1>0</formula1>
      <formula2>12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539062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10"/>
    <col collapsed="false" customWidth="true" hidden="false" outlineLevel="0" max="4" min="4" style="0" width="2"/>
    <col collapsed="false" customWidth="true" hidden="false" outlineLevel="0" max="8" min="5" style="0" width="16"/>
  </cols>
  <sheetData>
    <row r="1" customFormat="false" ht="21.75" hidden="false" customHeight="true" outlineLevel="0" collapsed="false">
      <c r="A1" s="15" t="s">
        <v>90</v>
      </c>
      <c r="B1" s="15"/>
      <c r="C1" s="15"/>
      <c r="D1" s="15"/>
      <c r="E1" s="15"/>
      <c r="F1" s="15"/>
      <c r="G1" s="15"/>
      <c r="H1" s="15"/>
    </row>
    <row r="2" customFormat="false" ht="21.75" hidden="false" customHeight="true" outlineLevel="0" collapsed="false">
      <c r="A2" s="15" t="s">
        <v>91</v>
      </c>
      <c r="B2" s="15"/>
      <c r="C2" s="15"/>
      <c r="D2" s="15"/>
      <c r="E2" s="15"/>
      <c r="F2" s="15"/>
      <c r="G2" s="15"/>
      <c r="H2" s="15"/>
    </row>
    <row r="3" customFormat="false" ht="15" hidden="false" customHeight="true" outlineLevel="0" collapsed="false">
      <c r="A3" s="16" t="s">
        <v>92</v>
      </c>
      <c r="B3" s="16"/>
      <c r="C3" s="16"/>
      <c r="D3" s="16"/>
      <c r="E3" s="16"/>
      <c r="F3" s="16"/>
      <c r="G3" s="16"/>
      <c r="H3" s="16"/>
    </row>
    <row r="4" customFormat="false" ht="15" hidden="false" customHeight="true" outlineLevel="0" collapsed="false">
      <c r="A4" s="16" t="s">
        <v>93</v>
      </c>
      <c r="B4" s="16"/>
      <c r="C4" s="16"/>
      <c r="D4" s="16"/>
      <c r="E4" s="16"/>
      <c r="F4" s="16"/>
      <c r="G4" s="16"/>
      <c r="H4" s="16"/>
    </row>
    <row r="5" customFormat="false" ht="15" hidden="false" customHeight="true" outlineLevel="0" collapsed="false">
      <c r="A5" s="16" t="s">
        <v>94</v>
      </c>
      <c r="B5" s="16"/>
      <c r="C5" s="16"/>
      <c r="D5" s="16"/>
      <c r="E5" s="16"/>
      <c r="F5" s="16"/>
      <c r="G5" s="16"/>
      <c r="H5" s="16"/>
    </row>
    <row r="6" customFormat="false" ht="15" hidden="false" customHeight="true" outlineLevel="0" collapsed="false">
      <c r="A6" s="16" t="s">
        <v>95</v>
      </c>
      <c r="B6" s="16"/>
      <c r="C6" s="16"/>
      <c r="D6" s="16"/>
      <c r="E6" s="16"/>
      <c r="F6" s="16"/>
      <c r="G6" s="16"/>
      <c r="H6" s="16"/>
    </row>
    <row r="7" customFormat="false" ht="4.5" hidden="false" customHeight="true" outlineLevel="0" collapsed="false">
      <c r="A7" s="17"/>
      <c r="B7" s="17"/>
      <c r="C7" s="17"/>
      <c r="D7" s="17"/>
      <c r="E7" s="17"/>
      <c r="F7" s="17"/>
      <c r="G7" s="17"/>
      <c r="H7" s="17"/>
    </row>
    <row r="8" customFormat="false" ht="19.5" hidden="false" customHeight="true" outlineLevel="0" collapsed="false">
      <c r="A8" s="18" t="s">
        <v>96</v>
      </c>
      <c r="B8" s="18"/>
      <c r="C8" s="19" t="s">
        <v>79</v>
      </c>
      <c r="D8" s="19"/>
      <c r="E8" s="19"/>
      <c r="F8" s="20" t="s">
        <v>97</v>
      </c>
      <c r="G8" s="20"/>
      <c r="H8" s="21" t="n">
        <v>2</v>
      </c>
    </row>
    <row r="10" customFormat="false" ht="16.15" hidden="false" customHeight="true" outlineLevel="0" collapsed="false">
      <c r="A10" s="22" t="s">
        <v>98</v>
      </c>
      <c r="B10" s="22"/>
      <c r="C10" s="22"/>
      <c r="D10" s="22"/>
      <c r="E10" s="22"/>
      <c r="F10" s="22"/>
      <c r="G10" s="22"/>
      <c r="H10" s="22"/>
    </row>
    <row r="11" customFormat="false" ht="15" hidden="false" customHeight="false" outlineLevel="0" collapsed="false">
      <c r="A11" s="23" t="str">
        <f aca="false">CONCATENATE("NOMOR: 218/KPG.03.03/SMAN1CGL-",$C$8)</f>
        <v>NOMOR: 218/KPG.03.03/SMAN1CGL-199101182019031011</v>
      </c>
      <c r="B11" s="23"/>
      <c r="C11" s="23"/>
      <c r="D11" s="23"/>
      <c r="E11" s="23"/>
      <c r="F11" s="23"/>
      <c r="G11" s="23"/>
      <c r="H11" s="23"/>
    </row>
    <row r="13" customFormat="false" ht="23.85" hidden="false" customHeight="false" outlineLevel="0" collapsed="false">
      <c r="A13" s="24" t="str">
        <f aca="false">CONCATENATE("Instansi : ",IFERROR(INDEX(tbl_pegawai,MATCH($C$8,tbl_nip,0),11),""))</f>
        <v>Instansi : PEMERINTAH PROVINSI JAWA BARAT</v>
      </c>
      <c r="B13" s="24"/>
      <c r="C13" s="24"/>
      <c r="D13" s="24"/>
      <c r="E13" s="25" t="str">
        <f aca="false">CONCATENATE("Periode : ",CHOOSE($H$8,Q_P1_BULAN,Q_P2_BULAN,Q_P3_BULAN,Q_P4_BULAN))</f>
        <v>Periode : 2024 (12 bulan)</v>
      </c>
      <c r="F13" s="25"/>
      <c r="G13" s="25"/>
      <c r="H13" s="25"/>
    </row>
    <row r="15" customFormat="false" ht="15" hidden="false" customHeight="true" outlineLevel="0" collapsed="false">
      <c r="A15" s="2" t="s">
        <v>99</v>
      </c>
      <c r="B15" s="2"/>
      <c r="C15" s="2"/>
      <c r="D15" s="2"/>
      <c r="E15" s="2"/>
      <c r="F15" s="2"/>
      <c r="G15" s="2"/>
      <c r="H15" s="2"/>
    </row>
    <row r="16" customFormat="false" ht="19.5" hidden="false" customHeight="true" outlineLevel="0" collapsed="false">
      <c r="A16" s="26" t="s">
        <v>100</v>
      </c>
      <c r="B16" s="27" t="s">
        <v>53</v>
      </c>
      <c r="C16" s="27"/>
      <c r="D16" s="26" t="s">
        <v>101</v>
      </c>
      <c r="E16" s="28" t="str">
        <f aca="false">IFERROR(INDEX(tbl_pegawai,MATCH($C$8,tbl_nip,0),2),"")</f>
        <v>ABDUL HADI HASANUDDIN, S.Pd.</v>
      </c>
      <c r="F16" s="28"/>
      <c r="G16" s="28"/>
      <c r="H16" s="28"/>
    </row>
    <row r="17" customFormat="false" ht="19.5" hidden="false" customHeight="true" outlineLevel="0" collapsed="false">
      <c r="A17" s="26" t="s">
        <v>102</v>
      </c>
      <c r="B17" s="27" t="s">
        <v>52</v>
      </c>
      <c r="C17" s="27"/>
      <c r="D17" s="26" t="s">
        <v>101</v>
      </c>
      <c r="E17" s="28" t="str">
        <f aca="false">IFERROR(INDEX(tbl_pegawai,MATCH($C$8,tbl_nip,0),1),"")</f>
        <v>199101182019031011</v>
      </c>
      <c r="F17" s="28"/>
      <c r="G17" s="28"/>
      <c r="H17" s="28"/>
    </row>
    <row r="18" customFormat="false" ht="19.5" hidden="false" customHeight="true" outlineLevel="0" collapsed="false">
      <c r="A18" s="26" t="s">
        <v>103</v>
      </c>
      <c r="B18" s="27" t="s">
        <v>54</v>
      </c>
      <c r="C18" s="27"/>
      <c r="D18" s="26" t="s">
        <v>101</v>
      </c>
      <c r="E18" s="28" t="str">
        <f aca="false">IFERROR(INDEX(tbl_pegawai,MATCH($C$8,tbl_nip,0),3),"")</f>
        <v>B 03050388</v>
      </c>
      <c r="F18" s="28"/>
      <c r="G18" s="28"/>
      <c r="H18" s="28"/>
    </row>
    <row r="19" customFormat="false" ht="19.5" hidden="false" customHeight="true" outlineLevel="0" collapsed="false">
      <c r="A19" s="26" t="s">
        <v>104</v>
      </c>
      <c r="B19" s="27" t="s">
        <v>105</v>
      </c>
      <c r="C19" s="27"/>
      <c r="D19" s="26" t="s">
        <v>101</v>
      </c>
      <c r="E19" s="28" t="str">
        <f aca="false">IFERROR(INDEX(tbl_pegawai,MATCH($C$8,tbl_nip,0),4),"")</f>
        <v>TASIKMALAYA/18-01-1991</v>
      </c>
      <c r="F19" s="28"/>
      <c r="G19" s="28"/>
      <c r="H19" s="28"/>
    </row>
    <row r="20" customFormat="false" ht="19.5" hidden="false" customHeight="true" outlineLevel="0" collapsed="false">
      <c r="A20" s="26" t="s">
        <v>106</v>
      </c>
      <c r="B20" s="27" t="s">
        <v>56</v>
      </c>
      <c r="C20" s="27"/>
      <c r="D20" s="26" t="s">
        <v>101</v>
      </c>
      <c r="E20" s="28" t="str">
        <f aca="false">IFERROR(INDEX(tbl_pegawai,MATCH($C$8,tbl_nip,0),5),"")</f>
        <v>LAKI-LAKI</v>
      </c>
      <c r="F20" s="28"/>
      <c r="G20" s="28"/>
      <c r="H20" s="28"/>
    </row>
    <row r="21" customFormat="false" ht="19.5" hidden="false" customHeight="true" outlineLevel="0" collapsed="false">
      <c r="A21" s="26" t="s">
        <v>107</v>
      </c>
      <c r="B21" s="27" t="s">
        <v>108</v>
      </c>
      <c r="C21" s="27"/>
      <c r="D21" s="26" t="s">
        <v>101</v>
      </c>
      <c r="E21" s="28" t="str">
        <f aca="false">IFERROR(INDEX(tbl_pegawai,MATCH($C$8,tbl_nip,0),6),"")</f>
        <v>PENATA MUDA TK.I/III/b/01-08-2024</v>
      </c>
      <c r="F21" s="28"/>
      <c r="G21" s="28"/>
      <c r="H21" s="28"/>
    </row>
    <row r="22" customFormat="false" ht="19.5" hidden="false" customHeight="true" outlineLevel="0" collapsed="false">
      <c r="A22" s="26" t="s">
        <v>109</v>
      </c>
      <c r="B22" s="27" t="s">
        <v>58</v>
      </c>
      <c r="C22" s="27"/>
      <c r="D22" s="26" t="s">
        <v>101</v>
      </c>
      <c r="E22" s="28" t="str">
        <f aca="false">IFERROR(INDEX(tbl_pegawai,MATCH($C$8,tbl_nip,0),8),"")</f>
        <v>GURU AHLI PERTAMA/01-03-2019</v>
      </c>
      <c r="F22" s="28"/>
      <c r="G22" s="28"/>
      <c r="H22" s="28"/>
    </row>
    <row r="23" customFormat="false" ht="54" hidden="false" customHeight="true" outlineLevel="0" collapsed="false">
      <c r="A23" s="26" t="s">
        <v>110</v>
      </c>
      <c r="B23" s="27" t="s">
        <v>59</v>
      </c>
      <c r="C23" s="27"/>
      <c r="D23" s="26" t="s">
        <v>101</v>
      </c>
      <c r="E23" s="28" t="str">
        <f aca="false">IFERROR(INDEX(tbl_pegawai,MATCH($C$8,tbl_nip,0),10),"")</f>
        <v>SMAN 1 CIGALONTANG KABUPATEN TASIKMALAYA SATUAN PENDIDIKAN KABUPATEN TASIKMALAYA CABANG PENDIDIKAN WILAYAH XII DINAS PENDIDIKAN</v>
      </c>
      <c r="F23" s="28"/>
      <c r="G23" s="28"/>
      <c r="H23" s="28"/>
    </row>
    <row r="24" customFormat="false" ht="19.5" hidden="false" customHeight="true" outlineLevel="0" collapsed="false">
      <c r="A24" s="26" t="s">
        <v>111</v>
      </c>
      <c r="B24" s="27" t="s">
        <v>60</v>
      </c>
      <c r="C24" s="27"/>
      <c r="D24" s="26" t="s">
        <v>101</v>
      </c>
      <c r="E24" s="28" t="str">
        <f aca="false">IFERROR(INDEX(tbl_pegawai,MATCH($C$8,tbl_nip,0),11),"")</f>
        <v>PEMERINTAH PROVINSI JAWA BARAT</v>
      </c>
      <c r="F24" s="28"/>
      <c r="G24" s="28"/>
      <c r="H24" s="28"/>
    </row>
    <row r="25" customFormat="false" ht="15" hidden="false" customHeight="true" outlineLevel="0" collapsed="false">
      <c r="A25" s="2" t="s">
        <v>98</v>
      </c>
      <c r="B25" s="2"/>
      <c r="C25" s="2"/>
      <c r="D25" s="2"/>
      <c r="E25" s="2"/>
      <c r="F25" s="2"/>
      <c r="G25" s="2"/>
      <c r="H25" s="2"/>
    </row>
    <row r="26" customFormat="false" ht="19.5" hidden="false" customHeight="true" outlineLevel="0" collapsed="false">
      <c r="A26" s="29" t="s">
        <v>112</v>
      </c>
      <c r="B26" s="29"/>
      <c r="C26" s="29"/>
      <c r="D26" s="29" t="s">
        <v>113</v>
      </c>
      <c r="E26" s="29"/>
      <c r="F26" s="29" t="s">
        <v>114</v>
      </c>
      <c r="G26" s="29"/>
      <c r="H26" s="29"/>
    </row>
    <row r="27" customFormat="false" ht="15" hidden="false" customHeight="false" outlineLevel="0" collapsed="false">
      <c r="A27" s="29"/>
      <c r="B27" s="29"/>
      <c r="C27" s="29"/>
      <c r="D27" s="29"/>
      <c r="E27" s="29"/>
      <c r="F27" s="29"/>
      <c r="G27" s="29"/>
      <c r="H27" s="29"/>
    </row>
    <row r="28" customFormat="false" ht="19.5" hidden="false" customHeight="true" outlineLevel="0" collapsed="false">
      <c r="A28" s="29" t="s">
        <v>2</v>
      </c>
      <c r="B28" s="29"/>
      <c r="C28" s="29" t="s">
        <v>3</v>
      </c>
      <c r="D28" s="29"/>
      <c r="E28" s="29"/>
      <c r="F28" s="29"/>
      <c r="G28" s="29"/>
      <c r="H28" s="29"/>
    </row>
    <row r="29" customFormat="false" ht="15.75" hidden="false" customHeight="true" outlineLevel="0" collapsed="false">
      <c r="A29" s="29" t="s">
        <v>100</v>
      </c>
      <c r="B29" s="29"/>
      <c r="C29" s="29" t="s">
        <v>102</v>
      </c>
      <c r="D29" s="29" t="s">
        <v>103</v>
      </c>
      <c r="E29" s="29"/>
      <c r="F29" s="29" t="s">
        <v>104</v>
      </c>
      <c r="G29" s="29"/>
      <c r="H29" s="29"/>
    </row>
    <row r="30" customFormat="false" ht="21.75" hidden="false" customHeight="true" outlineLevel="0" collapsed="false">
      <c r="A30" s="7" t="str">
        <f aca="false">CHOOSE($H$8,IFERROR(INDEX(tbl_pegawai,MATCH($C$8,tbl_nip,0),18),""),IFERROR(INDEX(tbl_pegawai,MATCH($C$8,tbl_nip,0),21),""),IFERROR(INDEX(tbl_pegawai,MATCH($C$8,tbl_nip,0),24),""),IFERROR(INDEX(tbl_pegawai,MATCH($C$8,tbl_nip,0),27),""))</f>
        <v>Sangat Baik</v>
      </c>
      <c r="B30" s="7"/>
      <c r="C30" s="5" t="n">
        <f aca="false">IFERROR(VLOOKUP(CHOOSE($H$8,IFERROR(INDEX(tbl_pegawai,MATCH($C$8,tbl_nip,0),18),""),IFERROR(INDEX(tbl_pegawai,MATCH($C$8,tbl_nip,0),21),""),IFERROR(INDEX(tbl_pegawai,MATCH($C$8,tbl_nip,0),24),""),IFERROR(INDEX(tbl_pegawai,MATCH($C$8,tbl_nip,0),27),"")),tbl_predikat,2,FALSE()),0)</f>
        <v>1.5</v>
      </c>
      <c r="D30" s="6" t="n">
        <f aca="false">IFERROR(VLOOKUP(IFERROR(INDEX(tbl_pegawai,MATCH($C$8,tbl_nip,0),9),""),tbl_jenjang,2,FALSE()),0)</f>
        <v>12.5</v>
      </c>
      <c r="E30" s="6"/>
      <c r="F30" s="30" t="n">
        <f aca="false">IFERROR(C30*D30*IFERROR(VALUE(CHOOSE($H$8,IFERROR(INDEX(tbl_pegawai,MATCH($C$8,tbl_nip,0),17),""),IFERROR(INDEX(tbl_pegawai,MATCH($C$8,tbl_nip,0),20),""),IFERROR(INDEX(tbl_pegawai,MATCH($C$8,tbl_nip,0),23),""),IFERROR(INDEX(tbl_pegawai,MATCH($C$8,tbl_nip,0),26),""))),12)/12,0)</f>
        <v>18.75</v>
      </c>
      <c r="G30" s="30"/>
      <c r="H30" s="30"/>
    </row>
    <row r="33" customFormat="false" ht="23.85" hidden="false" customHeight="true" outlineLevel="0" collapsed="false">
      <c r="A33" s="24" t="s">
        <v>115</v>
      </c>
      <c r="B33" s="24"/>
      <c r="C33" s="24"/>
      <c r="D33" s="24"/>
      <c r="E33" s="24"/>
      <c r="F33" s="31" t="str">
        <f aca="false">"Ditetapkan di Bandung"</f>
        <v>Ditetapkan di Bandung</v>
      </c>
    </row>
    <row r="34" customFormat="false" ht="23.85" hidden="false" customHeight="true" outlineLevel="0" collapsed="false">
      <c r="A34" s="24" t="s">
        <v>116</v>
      </c>
      <c r="B34" s="24"/>
      <c r="C34" s="24"/>
      <c r="D34" s="24"/>
      <c r="E34" s="24"/>
      <c r="F34" s="31" t="s">
        <v>117</v>
      </c>
    </row>
    <row r="35" customFormat="false" ht="23.85" hidden="false" customHeight="true" outlineLevel="0" collapsed="false">
      <c r="A35" s="24" t="s">
        <v>118</v>
      </c>
      <c r="B35" s="24"/>
      <c r="C35" s="24"/>
      <c r="D35" s="24"/>
      <c r="E35" s="24"/>
    </row>
    <row r="36" customFormat="false" ht="23.85" hidden="false" customHeight="true" outlineLevel="0" collapsed="false">
      <c r="A36" s="24" t="s">
        <v>119</v>
      </c>
      <c r="B36" s="24"/>
      <c r="C36" s="24"/>
      <c r="D36" s="24"/>
      <c r="E36" s="24"/>
      <c r="F36" s="31" t="s">
        <v>120</v>
      </c>
    </row>
    <row r="37" customFormat="false" ht="46.25" hidden="false" customHeight="true" outlineLevel="0" collapsed="false">
      <c r="A37" s="24" t="s">
        <v>121</v>
      </c>
      <c r="B37" s="24"/>
      <c r="C37" s="24"/>
      <c r="D37" s="24"/>
      <c r="E37" s="24"/>
      <c r="F37" s="31" t="s">
        <v>122</v>
      </c>
    </row>
    <row r="38" customFormat="false" ht="23.85" hidden="false" customHeight="false" outlineLevel="0" collapsed="false">
      <c r="A38" s="24" t="str">
        <f aca="false">CONCATENATE("5. Yth. ",IFERROR(INDEX(tbl_pegawai,MATCH($C$8,tbl_nip,0),2),""),".")</f>
        <v>5. Yth. ABDUL HADI HASANUDDIN, S.Pd..</v>
      </c>
      <c r="B38" s="24"/>
      <c r="C38" s="24"/>
      <c r="D38" s="24"/>
      <c r="E38" s="24"/>
      <c r="F38" s="31" t="s">
        <v>123</v>
      </c>
    </row>
    <row r="42" customFormat="false" ht="35.05" hidden="false" customHeight="false" outlineLevel="0" collapsed="false">
      <c r="F42" s="32" t="str">
        <f aca="false">IFERROR(INDEX(tbl_pegawai,MATCH($C$8,tbl_nip,0),28),"")</f>
        <v>Drs. ASEP SAEPUDIN, M.S.I</v>
      </c>
    </row>
    <row r="43" customFormat="false" ht="15" hidden="false" customHeight="false" outlineLevel="0" collapsed="false">
      <c r="F43" s="31" t="s">
        <v>124</v>
      </c>
    </row>
    <row r="45" customFormat="false" ht="15" hidden="false" customHeight="true" outlineLevel="0" collapsed="false">
      <c r="A45" s="33" t="s">
        <v>125</v>
      </c>
      <c r="B45" s="33"/>
      <c r="C45" s="33"/>
      <c r="D45" s="33"/>
      <c r="E45" s="33"/>
      <c r="F45" s="33"/>
      <c r="G45" s="33"/>
      <c r="H45" s="33"/>
    </row>
    <row r="46" customFormat="false" ht="15" hidden="false" customHeight="true" outlineLevel="0" collapsed="false">
      <c r="A46" s="33" t="s">
        <v>126</v>
      </c>
      <c r="B46" s="33"/>
      <c r="C46" s="33"/>
      <c r="D46" s="33"/>
      <c r="E46" s="33"/>
      <c r="F46" s="33"/>
      <c r="G46" s="33"/>
      <c r="H46" s="33"/>
    </row>
    <row r="47" customFormat="false" ht="15" hidden="false" customHeight="true" outlineLevel="0" collapsed="false">
      <c r="A47" s="33" t="s">
        <v>127</v>
      </c>
      <c r="B47" s="33"/>
      <c r="C47" s="33"/>
      <c r="D47" s="33"/>
      <c r="E47" s="33"/>
      <c r="F47" s="33"/>
      <c r="G47" s="33"/>
      <c r="H47" s="33"/>
    </row>
    <row r="48" customFormat="false" ht="15" hidden="false" customHeight="true" outlineLevel="0" collapsed="false">
      <c r="A48" s="34" t="s">
        <v>128</v>
      </c>
      <c r="B48" s="34"/>
      <c r="C48" s="34"/>
      <c r="D48" s="34"/>
      <c r="E48" s="34"/>
      <c r="F48" s="34"/>
      <c r="G48" s="34"/>
      <c r="H48" s="34"/>
    </row>
    <row r="49" customFormat="false" ht="15" hidden="false" customHeight="true" outlineLevel="0" collapsed="false">
      <c r="A49" s="33" t="s">
        <v>129</v>
      </c>
      <c r="B49" s="33"/>
      <c r="C49" s="33"/>
      <c r="D49" s="33"/>
      <c r="E49" s="33"/>
      <c r="F49" s="33"/>
      <c r="G49" s="33"/>
      <c r="H49" s="33"/>
    </row>
  </sheetData>
  <mergeCells count="56">
    <mergeCell ref="A1:H1"/>
    <mergeCell ref="A2:H2"/>
    <mergeCell ref="A3:H3"/>
    <mergeCell ref="A4:H4"/>
    <mergeCell ref="A5:H5"/>
    <mergeCell ref="A6:H6"/>
    <mergeCell ref="A8:B8"/>
    <mergeCell ref="C8:E8"/>
    <mergeCell ref="F8:G8"/>
    <mergeCell ref="A10:H10"/>
    <mergeCell ref="A11:H11"/>
    <mergeCell ref="A13:D13"/>
    <mergeCell ref="E13:H13"/>
    <mergeCell ref="A15:H15"/>
    <mergeCell ref="B16:C16"/>
    <mergeCell ref="E16:H16"/>
    <mergeCell ref="B17:C17"/>
    <mergeCell ref="E17:H17"/>
    <mergeCell ref="B18:C18"/>
    <mergeCell ref="E18:H18"/>
    <mergeCell ref="B19:C19"/>
    <mergeCell ref="E19:H19"/>
    <mergeCell ref="B20:C20"/>
    <mergeCell ref="E20:H20"/>
    <mergeCell ref="B21:C21"/>
    <mergeCell ref="E21:H21"/>
    <mergeCell ref="B22:C22"/>
    <mergeCell ref="E22:H22"/>
    <mergeCell ref="B23:C23"/>
    <mergeCell ref="E23:H23"/>
    <mergeCell ref="B24:C24"/>
    <mergeCell ref="E24:H24"/>
    <mergeCell ref="A25:H25"/>
    <mergeCell ref="A26:C27"/>
    <mergeCell ref="D26:E27"/>
    <mergeCell ref="F26:H27"/>
    <mergeCell ref="A28:B28"/>
    <mergeCell ref="D28:E28"/>
    <mergeCell ref="F28:H28"/>
    <mergeCell ref="A29:B29"/>
    <mergeCell ref="D29:E29"/>
    <mergeCell ref="F29:H29"/>
    <mergeCell ref="A30:B30"/>
    <mergeCell ref="D30:E30"/>
    <mergeCell ref="F30:H30"/>
    <mergeCell ref="A33:E33"/>
    <mergeCell ref="A34:E34"/>
    <mergeCell ref="A35:E35"/>
    <mergeCell ref="A36:E36"/>
    <mergeCell ref="A37:E37"/>
    <mergeCell ref="A38:E38"/>
    <mergeCell ref="A45:H45"/>
    <mergeCell ref="A46:H46"/>
    <mergeCell ref="A47:H47"/>
    <mergeCell ref="A48:H48"/>
    <mergeCell ref="A49:H49"/>
  </mergeCells>
  <dataValidations count="2">
    <dataValidation allowBlank="false" errorStyle="stop" operator="between" showDropDown="false" showErrorMessage="false" showInputMessage="false" sqref="C8" type="list">
      <formula1>tbl_nip</formula1>
      <formula2>0</formula2>
    </dataValidation>
    <dataValidation allowBlank="false" errorStyle="stop" operator="between" showDropDown="false" showErrorMessage="false" showInputMessage="false" sqref="H8" type="list">
      <formula1>"1,2,3,4"</formula1>
      <formula2>0</formula2>
    </dataValidation>
  </dataValidations>
  <printOptions headings="false" gridLines="false" gridLinesSet="true" horizontalCentered="true" verticalCentered="false"/>
  <pageMargins left="0.590277777777778" right="0.590277777777778" top="0.590277777777778" bottom="0.590277777777778" header="0.511811023622047" footer="0.511811023622047"/>
  <pageSetup paperSize="0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539062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6"/>
    <col collapsed="false" customWidth="true" hidden="false" outlineLevel="0" max="4" min="3" style="0" width="14"/>
    <col collapsed="false" customWidth="true" hidden="false" outlineLevel="0" max="5" min="5" style="0" width="4"/>
    <col collapsed="false" customWidth="true" hidden="false" outlineLevel="0" max="6" min="6" style="0" width="18"/>
    <col collapsed="false" customWidth="true" hidden="false" outlineLevel="0" max="10" min="7" style="0" width="14"/>
  </cols>
  <sheetData>
    <row r="1" customFormat="false" ht="21.75" hidden="false" customHeight="true" outlineLevel="0" collapsed="false">
      <c r="A1" s="15" t="s">
        <v>90</v>
      </c>
      <c r="B1" s="15"/>
      <c r="C1" s="15"/>
      <c r="D1" s="15"/>
      <c r="E1" s="15"/>
      <c r="F1" s="15"/>
      <c r="G1" s="15"/>
      <c r="H1" s="15"/>
      <c r="I1" s="15"/>
      <c r="J1" s="15"/>
    </row>
    <row r="2" customFormat="false" ht="21.75" hidden="false" customHeight="true" outlineLevel="0" collapsed="false">
      <c r="A2" s="15" t="s">
        <v>91</v>
      </c>
      <c r="B2" s="15"/>
      <c r="C2" s="15"/>
      <c r="D2" s="15"/>
      <c r="E2" s="15"/>
      <c r="F2" s="15"/>
      <c r="G2" s="15"/>
      <c r="H2" s="15"/>
      <c r="I2" s="15"/>
      <c r="J2" s="15"/>
    </row>
    <row r="3" customFormat="false" ht="15" hidden="false" customHeight="true" outlineLevel="0" collapsed="false">
      <c r="A3" s="16" t="s">
        <v>92</v>
      </c>
      <c r="B3" s="16"/>
      <c r="C3" s="16"/>
      <c r="D3" s="16"/>
      <c r="E3" s="16"/>
      <c r="F3" s="16"/>
      <c r="G3" s="16"/>
      <c r="H3" s="16"/>
      <c r="I3" s="16"/>
      <c r="J3" s="16"/>
    </row>
    <row r="4" customFormat="false" ht="15" hidden="false" customHeight="true" outlineLevel="0" collapsed="false">
      <c r="A4" s="16" t="s">
        <v>93</v>
      </c>
      <c r="B4" s="16"/>
      <c r="C4" s="16"/>
      <c r="D4" s="16"/>
      <c r="E4" s="16"/>
      <c r="F4" s="16"/>
      <c r="G4" s="16"/>
      <c r="H4" s="16"/>
      <c r="I4" s="16"/>
      <c r="J4" s="16"/>
    </row>
    <row r="5" customFormat="false" ht="15" hidden="false" customHeight="true" outlineLevel="0" collapsed="false">
      <c r="A5" s="16" t="s">
        <v>94</v>
      </c>
      <c r="B5" s="16"/>
      <c r="C5" s="16"/>
      <c r="D5" s="16"/>
      <c r="E5" s="16"/>
      <c r="F5" s="16"/>
      <c r="G5" s="16"/>
      <c r="H5" s="16"/>
      <c r="I5" s="16"/>
      <c r="J5" s="16"/>
    </row>
    <row r="6" customFormat="false" ht="15" hidden="false" customHeight="true" outlineLevel="0" collapsed="false">
      <c r="A6" s="16" t="s">
        <v>95</v>
      </c>
      <c r="B6" s="16"/>
      <c r="C6" s="16"/>
      <c r="D6" s="16"/>
      <c r="E6" s="16"/>
      <c r="F6" s="16"/>
      <c r="G6" s="16"/>
      <c r="H6" s="16"/>
      <c r="I6" s="16"/>
      <c r="J6" s="16"/>
    </row>
    <row r="7" customFormat="false" ht="4.5" hidden="false" customHeight="true" outlineLevel="0" collapsed="false">
      <c r="A7" s="17"/>
      <c r="B7" s="17"/>
      <c r="C7" s="17"/>
      <c r="D7" s="17"/>
      <c r="E7" s="17"/>
      <c r="F7" s="17"/>
      <c r="G7" s="17"/>
      <c r="H7" s="17"/>
      <c r="I7" s="17"/>
      <c r="J7" s="17"/>
    </row>
    <row r="8" customFormat="false" ht="19.5" hidden="false" customHeight="true" outlineLevel="0" collapsed="false">
      <c r="A8" s="18" t="s">
        <v>96</v>
      </c>
      <c r="B8" s="18"/>
      <c r="C8" s="19" t="s">
        <v>79</v>
      </c>
      <c r="D8" s="19"/>
      <c r="E8" s="19"/>
      <c r="F8" s="19"/>
    </row>
    <row r="10" customFormat="false" ht="16.15" hidden="false" customHeight="true" outlineLevel="0" collapsed="false">
      <c r="A10" s="22" t="s">
        <v>130</v>
      </c>
      <c r="B10" s="22"/>
      <c r="C10" s="22"/>
      <c r="D10" s="22"/>
      <c r="E10" s="22"/>
      <c r="F10" s="22"/>
      <c r="G10" s="22"/>
      <c r="H10" s="22"/>
      <c r="I10" s="22"/>
      <c r="J10" s="22"/>
    </row>
    <row r="11" customFormat="false" ht="15" hidden="false" customHeight="false" outlineLevel="0" collapsed="false">
      <c r="A11" s="23" t="str">
        <f aca="false">CONCATENATE("NOMOR: 219/KPG.03.03/SMAN1CGL-",$C$8)</f>
        <v>NOMOR: 219/KPG.03.03/SMAN1CGL-199101182019031011</v>
      </c>
      <c r="B11" s="23"/>
      <c r="C11" s="23"/>
      <c r="D11" s="23"/>
      <c r="E11" s="23"/>
      <c r="F11" s="23"/>
      <c r="G11" s="23"/>
      <c r="H11" s="23"/>
      <c r="I11" s="23"/>
      <c r="J11" s="23"/>
    </row>
    <row r="13" customFormat="false" ht="23.85" hidden="false" customHeight="true" outlineLevel="0" collapsed="false">
      <c r="A13" s="24" t="str">
        <f aca="false">CONCATENATE("Instansi : ",IFERROR(INDEX(tbl_pegawai,MATCH($C$8,tbl_nip,0),11),""))</f>
        <v>Instansi : PEMERINTAH PROVINSI JAWA BARAT</v>
      </c>
      <c r="B13" s="24"/>
      <c r="C13" s="24"/>
      <c r="D13" s="24"/>
      <c r="E13" s="24"/>
      <c r="F13" s="25" t="s">
        <v>131</v>
      </c>
      <c r="G13" s="25"/>
      <c r="H13" s="25"/>
      <c r="I13" s="25"/>
      <c r="J13" s="25"/>
    </row>
    <row r="15" customFormat="false" ht="15" hidden="false" customHeight="true" outlineLevel="0" collapsed="false">
      <c r="A15" s="2" t="s">
        <v>132</v>
      </c>
      <c r="B15" s="35" t="s">
        <v>133</v>
      </c>
      <c r="C15" s="35"/>
      <c r="D15" s="35"/>
      <c r="E15" s="35"/>
      <c r="F15" s="35"/>
      <c r="G15" s="35"/>
      <c r="H15" s="35"/>
      <c r="I15" s="35"/>
      <c r="J15" s="35"/>
    </row>
    <row r="16" customFormat="false" ht="19.5" hidden="false" customHeight="true" outlineLevel="0" collapsed="false">
      <c r="A16" s="36"/>
      <c r="B16" s="26" t="s">
        <v>100</v>
      </c>
      <c r="C16" s="27" t="s">
        <v>53</v>
      </c>
      <c r="D16" s="27"/>
      <c r="E16" s="26" t="s">
        <v>101</v>
      </c>
      <c r="F16" s="28" t="str">
        <f aca="false">IFERROR(INDEX(tbl_pegawai,MATCH($C$8,tbl_nip,0),2),"")</f>
        <v>ABDUL HADI HASANUDDIN, S.Pd.</v>
      </c>
      <c r="G16" s="28"/>
      <c r="H16" s="28"/>
      <c r="I16" s="28"/>
      <c r="J16" s="28"/>
    </row>
    <row r="17" customFormat="false" ht="19.5" hidden="false" customHeight="true" outlineLevel="0" collapsed="false">
      <c r="A17" s="36"/>
      <c r="B17" s="26" t="s">
        <v>102</v>
      </c>
      <c r="C17" s="27" t="s">
        <v>52</v>
      </c>
      <c r="D17" s="27"/>
      <c r="E17" s="26" t="s">
        <v>101</v>
      </c>
      <c r="F17" s="28" t="str">
        <f aca="false">IFERROR(INDEX(tbl_pegawai,MATCH($C$8,tbl_nip,0),1),"")</f>
        <v>199101182019031011</v>
      </c>
      <c r="G17" s="28"/>
      <c r="H17" s="28"/>
      <c r="I17" s="28"/>
      <c r="J17" s="28"/>
    </row>
    <row r="18" customFormat="false" ht="19.5" hidden="false" customHeight="true" outlineLevel="0" collapsed="false">
      <c r="A18" s="36"/>
      <c r="B18" s="26" t="s">
        <v>103</v>
      </c>
      <c r="C18" s="27" t="s">
        <v>54</v>
      </c>
      <c r="D18" s="27"/>
      <c r="E18" s="26" t="s">
        <v>101</v>
      </c>
      <c r="F18" s="28" t="str">
        <f aca="false">IFERROR(INDEX(tbl_pegawai,MATCH($C$8,tbl_nip,0),3),"")</f>
        <v>B 03050388</v>
      </c>
      <c r="G18" s="28"/>
      <c r="H18" s="28"/>
      <c r="I18" s="28"/>
      <c r="J18" s="28"/>
    </row>
    <row r="19" customFormat="false" ht="19.5" hidden="false" customHeight="true" outlineLevel="0" collapsed="false">
      <c r="A19" s="36"/>
      <c r="B19" s="26" t="s">
        <v>104</v>
      </c>
      <c r="C19" s="27" t="s">
        <v>105</v>
      </c>
      <c r="D19" s="27"/>
      <c r="E19" s="26" t="s">
        <v>101</v>
      </c>
      <c r="F19" s="28" t="str">
        <f aca="false">IFERROR(INDEX(tbl_pegawai,MATCH($C$8,tbl_nip,0),4),"")</f>
        <v>TASIKMALAYA/18-01-1991</v>
      </c>
      <c r="G19" s="28"/>
      <c r="H19" s="28"/>
      <c r="I19" s="28"/>
      <c r="J19" s="28"/>
    </row>
    <row r="20" customFormat="false" ht="19.5" hidden="false" customHeight="true" outlineLevel="0" collapsed="false">
      <c r="A20" s="36"/>
      <c r="B20" s="26" t="s">
        <v>106</v>
      </c>
      <c r="C20" s="27" t="s">
        <v>56</v>
      </c>
      <c r="D20" s="27"/>
      <c r="E20" s="26" t="s">
        <v>101</v>
      </c>
      <c r="F20" s="28" t="str">
        <f aca="false">IFERROR(INDEX(tbl_pegawai,MATCH($C$8,tbl_nip,0),5),"")</f>
        <v>LAKI-LAKI</v>
      </c>
      <c r="G20" s="28"/>
      <c r="H20" s="28"/>
      <c r="I20" s="28"/>
      <c r="J20" s="28"/>
    </row>
    <row r="21" customFormat="false" ht="19.5" hidden="false" customHeight="true" outlineLevel="0" collapsed="false">
      <c r="A21" s="36"/>
      <c r="B21" s="26" t="s">
        <v>107</v>
      </c>
      <c r="C21" s="27" t="s">
        <v>108</v>
      </c>
      <c r="D21" s="27"/>
      <c r="E21" s="26" t="s">
        <v>101</v>
      </c>
      <c r="F21" s="28" t="str">
        <f aca="false">IFERROR(INDEX(tbl_pegawai,MATCH($C$8,tbl_nip,0),6),"")</f>
        <v>PENATA MUDA TK.I/III/b/01-08-2024</v>
      </c>
      <c r="G21" s="28"/>
      <c r="H21" s="28"/>
      <c r="I21" s="28"/>
      <c r="J21" s="28"/>
    </row>
    <row r="22" customFormat="false" ht="19.5" hidden="false" customHeight="true" outlineLevel="0" collapsed="false">
      <c r="A22" s="36"/>
      <c r="B22" s="26" t="s">
        <v>109</v>
      </c>
      <c r="C22" s="27" t="s">
        <v>58</v>
      </c>
      <c r="D22" s="27"/>
      <c r="E22" s="26" t="s">
        <v>101</v>
      </c>
      <c r="F22" s="28" t="str">
        <f aca="false">IFERROR(INDEX(tbl_pegawai,MATCH($C$8,tbl_nip,0),8),"")</f>
        <v>GURU AHLI PERTAMA/01-03-2019</v>
      </c>
      <c r="G22" s="28"/>
      <c r="H22" s="28"/>
      <c r="I22" s="28"/>
      <c r="J22" s="28"/>
    </row>
    <row r="23" customFormat="false" ht="54" hidden="false" customHeight="true" outlineLevel="0" collapsed="false">
      <c r="A23" s="36"/>
      <c r="B23" s="26" t="s">
        <v>110</v>
      </c>
      <c r="C23" s="27" t="s">
        <v>59</v>
      </c>
      <c r="D23" s="27"/>
      <c r="E23" s="26" t="s">
        <v>101</v>
      </c>
      <c r="F23" s="28" t="str">
        <f aca="false">IFERROR(INDEX(tbl_pegawai,MATCH($C$8,tbl_nip,0),10),"")</f>
        <v>SMAN 1 CIGALONTANG KABUPATEN TASIKMALAYA SATUAN PENDIDIKAN KABUPATEN TASIKMALAYA CABANG PENDIDIKAN WILAYAH XII DINAS PENDIDIKAN</v>
      </c>
      <c r="G23" s="28"/>
      <c r="H23" s="28"/>
      <c r="I23" s="28"/>
      <c r="J23" s="28"/>
    </row>
    <row r="24" customFormat="false" ht="19.5" hidden="false" customHeight="true" outlineLevel="0" collapsed="false">
      <c r="A24" s="36"/>
      <c r="B24" s="26" t="s">
        <v>111</v>
      </c>
      <c r="C24" s="27" t="s">
        <v>60</v>
      </c>
      <c r="D24" s="27"/>
      <c r="E24" s="26" t="s">
        <v>101</v>
      </c>
      <c r="F24" s="28" t="str">
        <f aca="false">IFERROR(INDEX(tbl_pegawai,MATCH($C$8,tbl_nip,0),11),"")</f>
        <v>PEMERINTAH PROVINSI JAWA BARAT</v>
      </c>
      <c r="G24" s="28"/>
      <c r="H24" s="28"/>
      <c r="I24" s="28"/>
      <c r="J24" s="28"/>
    </row>
    <row r="25" customFormat="false" ht="15" hidden="false" customHeight="true" outlineLevel="0" collapsed="false">
      <c r="A25" s="2" t="s">
        <v>134</v>
      </c>
      <c r="B25" s="2"/>
      <c r="C25" s="2"/>
      <c r="D25" s="2"/>
      <c r="E25" s="2"/>
      <c r="F25" s="2"/>
      <c r="G25" s="2"/>
      <c r="H25" s="2"/>
      <c r="I25" s="2"/>
      <c r="J25" s="2"/>
    </row>
    <row r="26" customFormat="false" ht="19.5" hidden="false" customHeight="true" outlineLevel="0" collapsed="false">
      <c r="A26" s="29" t="s">
        <v>135</v>
      </c>
      <c r="B26" s="29"/>
      <c r="C26" s="29"/>
      <c r="D26" s="29"/>
      <c r="E26" s="29" t="s">
        <v>136</v>
      </c>
      <c r="F26" s="29"/>
      <c r="G26" s="29" t="s">
        <v>137</v>
      </c>
      <c r="H26" s="29"/>
      <c r="I26" s="29"/>
      <c r="J26" s="29"/>
    </row>
    <row r="27" customFormat="false" ht="27.75" hidden="false" customHeight="true" outlineLevel="0" collapsed="false">
      <c r="A27" s="29" t="s">
        <v>138</v>
      </c>
      <c r="B27" s="29" t="s">
        <v>139</v>
      </c>
      <c r="C27" s="29" t="s">
        <v>2</v>
      </c>
      <c r="D27" s="29" t="s">
        <v>3</v>
      </c>
      <c r="E27" s="29"/>
      <c r="F27" s="29"/>
      <c r="G27" s="29"/>
      <c r="H27" s="29"/>
      <c r="I27" s="29"/>
      <c r="J27" s="29"/>
    </row>
    <row r="28" customFormat="false" ht="15.75" hidden="false" customHeight="true" outlineLevel="0" collapsed="false">
      <c r="A28" s="29" t="s">
        <v>100</v>
      </c>
      <c r="B28" s="29" t="s">
        <v>102</v>
      </c>
      <c r="C28" s="29" t="s">
        <v>103</v>
      </c>
      <c r="D28" s="29" t="s">
        <v>104</v>
      </c>
      <c r="E28" s="29" t="s">
        <v>106</v>
      </c>
      <c r="F28" s="29"/>
      <c r="G28" s="29" t="s">
        <v>107</v>
      </c>
      <c r="H28" s="29"/>
      <c r="I28" s="29"/>
      <c r="J28" s="29"/>
    </row>
    <row r="29" customFormat="false" ht="21.75" hidden="false" customHeight="true" outlineLevel="0" collapsed="false">
      <c r="A29" s="8" t="n">
        <f aca="false">IF(OR(IFERROR(INDEX(tbl_pegawai,MATCH($C$8,tbl_nip,0),16),"")="",IFERROR(INDEX(tbl_pegawai,MATCH($C$8,tbl_nip,0),16),"")=0),"",IFERROR(INDEX(tbl_pegawai,MATCH($C$8,tbl_nip,0),16),""))</f>
        <v>2023</v>
      </c>
      <c r="B29" s="7" t="str">
        <f aca="false">IF(OR(IFERROR(INDEX(tbl_pegawai,MATCH($C$8,tbl_nip,0),16),"")="",IFERROR(INDEX(tbl_pegawai,MATCH($C$8,tbl_nip,0),16),"")=0),"",IF(IFERROR(INDEX(tbl_pegawai,MATCH($C$8,tbl_nip,0),17),"")="","",CONCATENATE(IFERROR(INDEX(tbl_pegawai,MATCH($C$8,tbl_nip,0),17),"")," Bulan")))</f>
        <v>6 Bulan</v>
      </c>
      <c r="C29" s="7" t="str">
        <f aca="false">IF(OR(IFERROR(INDEX(tbl_pegawai,MATCH($C$8,tbl_nip,0),16),"")="",IFERROR(INDEX(tbl_pegawai,MATCH($C$8,tbl_nip,0),16),"")=0),"",IFERROR(INDEX(tbl_pegawai,MATCH($C$8,tbl_nip,0),18),""))</f>
        <v>Sangat Baik</v>
      </c>
      <c r="D29" s="5" t="n">
        <f aca="false">IF(OR(IFERROR(INDEX(tbl_pegawai,MATCH($C$8,tbl_nip,0),16),"")="",IFERROR(INDEX(tbl_pegawai,MATCH($C$8,tbl_nip,0),16),"")=0),"",IFERROR(VLOOKUP(IFERROR(INDEX(tbl_pegawai,MATCH($C$8,tbl_nip,0),18),""),tbl_predikat,2,FALSE()),""))</f>
        <v>1.5</v>
      </c>
      <c r="E29" s="6" t="n">
        <f aca="false">IF(OR(IFERROR(INDEX(tbl_pegawai,MATCH($C$8,tbl_nip,0),16),"")="",IFERROR(INDEX(tbl_pegawai,MATCH($C$8,tbl_nip,0),16),"")=0),"",IFERROR(VLOOKUP(IFERROR(INDEX(tbl_pegawai,MATCH($C$8,tbl_nip,0),9),""),tbl_jenjang,2,FALSE()),""))</f>
        <v>12.5</v>
      </c>
      <c r="F29" s="6"/>
      <c r="G29" s="30" t="n">
        <f aca="false">IF(OR(IFERROR(INDEX(tbl_pegawai,MATCH($C$8,tbl_nip,0),16),"")="",IFERROR(INDEX(tbl_pegawai,MATCH($C$8,tbl_nip,0),16),"")=0),"",IFERROR(IF(OR(IFERROR(INDEX(tbl_pegawai,MATCH($C$8,tbl_nip,0),18),"")="",IFERROR(INDEX(tbl_pegawai,MATCH($C$8,tbl_nip,0),17),"")=""),"",VLOOKUP(IFERROR(INDEX(tbl_pegawai,MATCH($C$8,tbl_nip,0),9),""),tbl_jenjang,2,FALSE())*VLOOKUP(IFERROR(INDEX(tbl_pegawai,MATCH($C$8,tbl_nip,0),18),""),tbl_predikat,2,FALSE())*IFERROR(INDEX(tbl_pegawai,MATCH($C$8,tbl_nip,0),17),"")/12),""))</f>
        <v>9.375</v>
      </c>
      <c r="H29" s="30"/>
      <c r="I29" s="30"/>
      <c r="J29" s="30"/>
    </row>
    <row r="30" customFormat="false" ht="21.75" hidden="false" customHeight="true" outlineLevel="0" collapsed="false">
      <c r="A30" s="8" t="n">
        <f aca="false">IF(OR(IFERROR(INDEX(tbl_pegawai,MATCH($C$8,tbl_nip,0),19),"")="",IFERROR(INDEX(tbl_pegawai,MATCH($C$8,tbl_nip,0),19),"")=0),"",IFERROR(INDEX(tbl_pegawai,MATCH($C$8,tbl_nip,0),19),""))</f>
        <v>2024</v>
      </c>
      <c r="B30" s="7" t="str">
        <f aca="false">IF(OR(IFERROR(INDEX(tbl_pegawai,MATCH($C$8,tbl_nip,0),19),"")="",IFERROR(INDEX(tbl_pegawai,MATCH($C$8,tbl_nip,0),19),"")=0),"",IF(IFERROR(INDEX(tbl_pegawai,MATCH($C$8,tbl_nip,0),20),"")="","",CONCATENATE(IFERROR(INDEX(tbl_pegawai,MATCH($C$8,tbl_nip,0),20),"")," Bulan")))</f>
        <v>12 Bulan</v>
      </c>
      <c r="C30" s="7" t="str">
        <f aca="false">IF(OR(IFERROR(INDEX(tbl_pegawai,MATCH($C$8,tbl_nip,0),19),"")="",IFERROR(INDEX(tbl_pegawai,MATCH($C$8,tbl_nip,0),19),"")=0),"",IFERROR(INDEX(tbl_pegawai,MATCH($C$8,tbl_nip,0),21),""))</f>
        <v>Sangat Baik</v>
      </c>
      <c r="D30" s="5" t="n">
        <f aca="false">IF(OR(IFERROR(INDEX(tbl_pegawai,MATCH($C$8,tbl_nip,0),19),"")="",IFERROR(INDEX(tbl_pegawai,MATCH($C$8,tbl_nip,0),19),"")=0),"",IFERROR(VLOOKUP(IFERROR(INDEX(tbl_pegawai,MATCH($C$8,tbl_nip,0),21),""),tbl_predikat,2,FALSE()),""))</f>
        <v>1.5</v>
      </c>
      <c r="E30" s="6" t="n">
        <f aca="false">IF(OR(IFERROR(INDEX(tbl_pegawai,MATCH($C$8,tbl_nip,0),19),"")="",IFERROR(INDEX(tbl_pegawai,MATCH($C$8,tbl_nip,0),19),"")=0),"",IFERROR(VLOOKUP(IFERROR(INDEX(tbl_pegawai,MATCH($C$8,tbl_nip,0),9),""),tbl_jenjang,2,FALSE()),""))</f>
        <v>12.5</v>
      </c>
      <c r="F30" s="6"/>
      <c r="G30" s="30" t="n">
        <f aca="false">IF(OR(IFERROR(INDEX(tbl_pegawai,MATCH($C$8,tbl_nip,0),19),"")="",IFERROR(INDEX(tbl_pegawai,MATCH($C$8,tbl_nip,0),19),"")=0),"",IFERROR(IF(OR(IFERROR(INDEX(tbl_pegawai,MATCH($C$8,tbl_nip,0),21),"")="",IFERROR(INDEX(tbl_pegawai,MATCH($C$8,tbl_nip,0),20),"")=""),"",VLOOKUP(IFERROR(INDEX(tbl_pegawai,MATCH($C$8,tbl_nip,0),9),""),tbl_jenjang,2,FALSE())*VLOOKUP(IFERROR(INDEX(tbl_pegawai,MATCH($C$8,tbl_nip,0),21),""),tbl_predikat,2,FALSE())*IFERROR(INDEX(tbl_pegawai,MATCH($C$8,tbl_nip,0),20),"")/12),""))</f>
        <v>18.75</v>
      </c>
      <c r="H30" s="30"/>
      <c r="I30" s="30"/>
      <c r="J30" s="30"/>
    </row>
    <row r="31" customFormat="false" ht="21.75" hidden="false" customHeight="true" outlineLevel="0" collapsed="false">
      <c r="A31" s="7" t="str">
        <f aca="false">IF(OR(IFERROR(INDEX(tbl_pegawai,MATCH($C$8,tbl_nip,0),22),"")="",IFERROR(INDEX(tbl_pegawai,MATCH($C$8,tbl_nip,0),22),"")=0),"",IFERROR(INDEX(tbl_pegawai,MATCH($C$8,tbl_nip,0),22),""))</f>
        <v/>
      </c>
      <c r="B31" s="7" t="str">
        <f aca="false">IF(OR(IFERROR(INDEX(tbl_pegawai,MATCH($C$8,tbl_nip,0),22),"")="",IFERROR(INDEX(tbl_pegawai,MATCH($C$8,tbl_nip,0),22),"")=0),"",IF(IFERROR(INDEX(tbl_pegawai,MATCH($C$8,tbl_nip,0),23),"")="","",CONCATENATE(IFERROR(INDEX(tbl_pegawai,MATCH($C$8,tbl_nip,0),23),"")," Bulan")))</f>
        <v/>
      </c>
      <c r="C31" s="7" t="str">
        <f aca="false">IF(OR(IFERROR(INDEX(tbl_pegawai,MATCH($C$8,tbl_nip,0),22),"")="",IFERROR(INDEX(tbl_pegawai,MATCH($C$8,tbl_nip,0),22),"")=0),"",IFERROR(INDEX(tbl_pegawai,MATCH($C$8,tbl_nip,0),24),""))</f>
        <v/>
      </c>
      <c r="D31" s="5" t="str">
        <f aca="false">IF(OR(IFERROR(INDEX(tbl_pegawai,MATCH($C$8,tbl_nip,0),22),"")="",IFERROR(INDEX(tbl_pegawai,MATCH($C$8,tbl_nip,0),22),"")=0),"",IFERROR(VLOOKUP(IFERROR(INDEX(tbl_pegawai,MATCH($C$8,tbl_nip,0),24),""),tbl_predikat,2,FALSE()),""))</f>
        <v/>
      </c>
      <c r="E31" s="6" t="str">
        <f aca="false">IF(OR(IFERROR(INDEX(tbl_pegawai,MATCH($C$8,tbl_nip,0),22),"")="",IFERROR(INDEX(tbl_pegawai,MATCH($C$8,tbl_nip,0),22),"")=0),"",IFERROR(VLOOKUP(IFERROR(INDEX(tbl_pegawai,MATCH($C$8,tbl_nip,0),9),""),tbl_jenjang,2,FALSE()),""))</f>
        <v/>
      </c>
      <c r="F31" s="6"/>
      <c r="G31" s="30" t="str">
        <f aca="false">IF(OR(IFERROR(INDEX(tbl_pegawai,MATCH($C$8,tbl_nip,0),22),"")="",IFERROR(INDEX(tbl_pegawai,MATCH($C$8,tbl_nip,0),22),"")=0),"",IFERROR(IF(OR(IFERROR(INDEX(tbl_pegawai,MATCH($C$8,tbl_nip,0),24),"")="",IFERROR(INDEX(tbl_pegawai,MATCH($C$8,tbl_nip,0),23),"")=""),"",VLOOKUP(IFERROR(INDEX(tbl_pegawai,MATCH($C$8,tbl_nip,0),9),""),tbl_jenjang,2,FALSE())*VLOOKUP(IFERROR(INDEX(tbl_pegawai,MATCH($C$8,tbl_nip,0),24),""),tbl_predikat,2,FALSE())*IFERROR(INDEX(tbl_pegawai,MATCH($C$8,tbl_nip,0),23),"")/12),""))</f>
        <v/>
      </c>
      <c r="H31" s="30"/>
      <c r="I31" s="30"/>
      <c r="J31" s="30"/>
    </row>
    <row r="32" customFormat="false" ht="21.75" hidden="false" customHeight="true" outlineLevel="0" collapsed="false">
      <c r="A32" s="7" t="str">
        <f aca="false">IF(OR(IFERROR(INDEX(tbl_pegawai,MATCH($C$8,tbl_nip,0),25),"")="",IFERROR(INDEX(tbl_pegawai,MATCH($C$8,tbl_nip,0),25),"")=0),"",IFERROR(INDEX(tbl_pegawai,MATCH($C$8,tbl_nip,0),25),""))</f>
        <v/>
      </c>
      <c r="B32" s="7" t="str">
        <f aca="false">IF(OR(IFERROR(INDEX(tbl_pegawai,MATCH($C$8,tbl_nip,0),25),"")="",IFERROR(INDEX(tbl_pegawai,MATCH($C$8,tbl_nip,0),25),"")=0),"",IF(IFERROR(INDEX(tbl_pegawai,MATCH($C$8,tbl_nip,0),26),"")="","",CONCATENATE(IFERROR(INDEX(tbl_pegawai,MATCH($C$8,tbl_nip,0),26),"")," Bulan")))</f>
        <v/>
      </c>
      <c r="C32" s="7" t="str">
        <f aca="false">IF(OR(IFERROR(INDEX(tbl_pegawai,MATCH($C$8,tbl_nip,0),25),"")="",IFERROR(INDEX(tbl_pegawai,MATCH($C$8,tbl_nip,0),25),"")=0),"",IFERROR(INDEX(tbl_pegawai,MATCH($C$8,tbl_nip,0),27),""))</f>
        <v/>
      </c>
      <c r="D32" s="5" t="str">
        <f aca="false">IF(OR(IFERROR(INDEX(tbl_pegawai,MATCH($C$8,tbl_nip,0),25),"")="",IFERROR(INDEX(tbl_pegawai,MATCH($C$8,tbl_nip,0),25),"")=0),"",IFERROR(VLOOKUP(IFERROR(INDEX(tbl_pegawai,MATCH($C$8,tbl_nip,0),27),""),tbl_predikat,2,FALSE()),""))</f>
        <v/>
      </c>
      <c r="E32" s="6" t="str">
        <f aca="false">IF(OR(IFERROR(INDEX(tbl_pegawai,MATCH($C$8,tbl_nip,0),25),"")="",IFERROR(INDEX(tbl_pegawai,MATCH($C$8,tbl_nip,0),25),"")=0),"",IFERROR(VLOOKUP(IFERROR(INDEX(tbl_pegawai,MATCH($C$8,tbl_nip,0),9),""),tbl_jenjang,2,FALSE()),""))</f>
        <v/>
      </c>
      <c r="F32" s="6"/>
      <c r="G32" s="30" t="str">
        <f aca="false">IF(OR(IFERROR(INDEX(tbl_pegawai,MATCH($C$8,tbl_nip,0),25),"")="",IFERROR(INDEX(tbl_pegawai,MATCH($C$8,tbl_nip,0),25),"")=0),"",IFERROR(IF(OR(IFERROR(INDEX(tbl_pegawai,MATCH($C$8,tbl_nip,0),27),"")="",IFERROR(INDEX(tbl_pegawai,MATCH($C$8,tbl_nip,0),26),"")=""),"",VLOOKUP(IFERROR(INDEX(tbl_pegawai,MATCH($C$8,tbl_nip,0),9),""),tbl_jenjang,2,FALSE())*VLOOKUP(IFERROR(INDEX(tbl_pegawai,MATCH($C$8,tbl_nip,0),27),""),tbl_predikat,2,FALSE())*IFERROR(INDEX(tbl_pegawai,MATCH($C$8,tbl_nip,0),26),"")/12),""))</f>
        <v/>
      </c>
      <c r="H32" s="30"/>
      <c r="I32" s="30"/>
      <c r="J32" s="30"/>
    </row>
    <row r="33" customFormat="false" ht="21.75" hidden="false" customHeight="true" outlineLevel="0" collapsed="false">
      <c r="A33" s="37" t="s">
        <v>140</v>
      </c>
      <c r="B33" s="37"/>
      <c r="C33" s="37"/>
      <c r="D33" s="37"/>
      <c r="E33" s="37"/>
      <c r="F33" s="37"/>
      <c r="G33" s="38" t="n">
        <f aca="false">SUMPRODUCT(--ISNUMBER(G29:G32),G29:G32)</f>
        <v>28.125</v>
      </c>
      <c r="H33" s="38"/>
      <c r="I33" s="38"/>
      <c r="J33" s="38"/>
    </row>
    <row r="36" customFormat="false" ht="23.85" hidden="false" customHeight="true" outlineLevel="0" collapsed="false">
      <c r="A36" s="24" t="s">
        <v>115</v>
      </c>
      <c r="B36" s="24"/>
      <c r="C36" s="24"/>
      <c r="D36" s="24"/>
      <c r="E36" s="24"/>
      <c r="F36" s="24"/>
      <c r="G36" s="24"/>
      <c r="H36" s="31" t="s">
        <v>141</v>
      </c>
    </row>
    <row r="37" customFormat="false" ht="23.85" hidden="false" customHeight="true" outlineLevel="0" collapsed="false">
      <c r="A37" s="24" t="s">
        <v>116</v>
      </c>
      <c r="B37" s="24"/>
      <c r="C37" s="24"/>
      <c r="D37" s="24"/>
      <c r="E37" s="24"/>
      <c r="F37" s="24"/>
      <c r="G37" s="24"/>
      <c r="H37" s="31" t="s">
        <v>117</v>
      </c>
    </row>
    <row r="38" customFormat="false" ht="15" hidden="false" customHeight="true" outlineLevel="0" collapsed="false">
      <c r="A38" s="24" t="s">
        <v>118</v>
      </c>
      <c r="B38" s="24"/>
      <c r="C38" s="24"/>
      <c r="D38" s="24"/>
      <c r="E38" s="24"/>
      <c r="F38" s="24"/>
      <c r="G38" s="24"/>
    </row>
    <row r="39" customFormat="false" ht="23.85" hidden="false" customHeight="true" outlineLevel="0" collapsed="false">
      <c r="A39" s="24" t="s">
        <v>119</v>
      </c>
      <c r="B39" s="24"/>
      <c r="C39" s="24"/>
      <c r="D39" s="24"/>
      <c r="E39" s="24"/>
      <c r="F39" s="24"/>
      <c r="G39" s="24"/>
      <c r="H39" s="31" t="s">
        <v>120</v>
      </c>
    </row>
    <row r="40" customFormat="false" ht="57.45" hidden="false" customHeight="true" outlineLevel="0" collapsed="false">
      <c r="A40" s="24" t="s">
        <v>121</v>
      </c>
      <c r="B40" s="24"/>
      <c r="C40" s="24"/>
      <c r="D40" s="24"/>
      <c r="E40" s="24"/>
      <c r="F40" s="24"/>
      <c r="G40" s="24"/>
      <c r="H40" s="31" t="s">
        <v>122</v>
      </c>
    </row>
    <row r="41" customFormat="false" ht="35.05" hidden="false" customHeight="false" outlineLevel="0" collapsed="false">
      <c r="A41" s="24" t="str">
        <f aca="false">CONCATENATE("5. Yth. ",IFERROR(INDEX(tbl_pegawai,MATCH($C$8,tbl_nip,0),2),""),".")</f>
        <v>5. Yth. ABDUL HADI HASANUDDIN, S.Pd..</v>
      </c>
      <c r="B41" s="24"/>
      <c r="C41" s="24"/>
      <c r="D41" s="24"/>
      <c r="E41" s="24"/>
      <c r="F41" s="24"/>
      <c r="G41" s="24"/>
      <c r="H41" s="31" t="s">
        <v>123</v>
      </c>
    </row>
    <row r="45" customFormat="false" ht="35.05" hidden="false" customHeight="false" outlineLevel="0" collapsed="false">
      <c r="H45" s="32" t="str">
        <f aca="false">IFERROR(INDEX(tbl_pegawai,MATCH($C$8,tbl_nip,0),28),"")</f>
        <v>Drs. ASEP SAEPUDIN, M.S.I</v>
      </c>
    </row>
    <row r="46" customFormat="false" ht="15" hidden="false" customHeight="false" outlineLevel="0" collapsed="false">
      <c r="H46" s="31" t="s">
        <v>124</v>
      </c>
    </row>
    <row r="48" customFormat="false" ht="15" hidden="false" customHeight="true" outlineLevel="0" collapsed="false">
      <c r="A48" s="33" t="s">
        <v>125</v>
      </c>
      <c r="B48" s="33"/>
      <c r="C48" s="33"/>
      <c r="D48" s="33"/>
      <c r="E48" s="33"/>
      <c r="F48" s="33"/>
      <c r="G48" s="33"/>
      <c r="H48" s="33"/>
      <c r="I48" s="33"/>
      <c r="J48" s="33"/>
    </row>
    <row r="49" customFormat="false" ht="15" hidden="false" customHeight="true" outlineLevel="0" collapsed="false">
      <c r="A49" s="33" t="s">
        <v>126</v>
      </c>
      <c r="B49" s="33"/>
      <c r="C49" s="33"/>
      <c r="D49" s="33"/>
      <c r="E49" s="33"/>
      <c r="F49" s="33"/>
      <c r="G49" s="33"/>
      <c r="H49" s="33"/>
      <c r="I49" s="33"/>
      <c r="J49" s="33"/>
    </row>
    <row r="50" customFormat="false" ht="15" hidden="false" customHeight="true" outlineLevel="0" collapsed="false">
      <c r="A50" s="33" t="s">
        <v>127</v>
      </c>
      <c r="B50" s="33"/>
      <c r="C50" s="33"/>
      <c r="D50" s="33"/>
      <c r="E50" s="33"/>
      <c r="F50" s="33"/>
      <c r="G50" s="33"/>
      <c r="H50" s="33"/>
      <c r="I50" s="33"/>
      <c r="J50" s="33"/>
    </row>
    <row r="51" customFormat="false" ht="15" hidden="false" customHeight="true" outlineLevel="0" collapsed="false">
      <c r="A51" s="34" t="s">
        <v>128</v>
      </c>
      <c r="B51" s="34"/>
      <c r="C51" s="34"/>
      <c r="D51" s="34"/>
      <c r="E51" s="34"/>
      <c r="F51" s="34"/>
      <c r="G51" s="34"/>
      <c r="H51" s="34"/>
      <c r="I51" s="34"/>
      <c r="J51" s="34"/>
    </row>
    <row r="52" customFormat="false" ht="15" hidden="false" customHeight="true" outlineLevel="0" collapsed="false">
      <c r="A52" s="33" t="s">
        <v>129</v>
      </c>
      <c r="B52" s="33"/>
      <c r="C52" s="33"/>
      <c r="D52" s="33"/>
      <c r="E52" s="33"/>
      <c r="F52" s="33"/>
      <c r="G52" s="33"/>
      <c r="H52" s="33"/>
      <c r="I52" s="33"/>
      <c r="J52" s="33"/>
    </row>
  </sheetData>
  <mergeCells count="58">
    <mergeCell ref="A1:J1"/>
    <mergeCell ref="A2:J2"/>
    <mergeCell ref="A3:J3"/>
    <mergeCell ref="A4:J4"/>
    <mergeCell ref="A5:J5"/>
    <mergeCell ref="A6:J6"/>
    <mergeCell ref="A8:B8"/>
    <mergeCell ref="C8:F8"/>
    <mergeCell ref="A10:J10"/>
    <mergeCell ref="A11:J11"/>
    <mergeCell ref="A13:E13"/>
    <mergeCell ref="F13:J13"/>
    <mergeCell ref="B15:J15"/>
    <mergeCell ref="C16:D16"/>
    <mergeCell ref="F16:J16"/>
    <mergeCell ref="C17:D17"/>
    <mergeCell ref="F17:J17"/>
    <mergeCell ref="C18:D18"/>
    <mergeCell ref="F18:J18"/>
    <mergeCell ref="C19:D19"/>
    <mergeCell ref="F19:J19"/>
    <mergeCell ref="C20:D20"/>
    <mergeCell ref="F20:J20"/>
    <mergeCell ref="C21:D21"/>
    <mergeCell ref="F21:J21"/>
    <mergeCell ref="C22:D22"/>
    <mergeCell ref="F22:J22"/>
    <mergeCell ref="C23:D23"/>
    <mergeCell ref="F23:J23"/>
    <mergeCell ref="C24:D24"/>
    <mergeCell ref="F24:J24"/>
    <mergeCell ref="A25:J25"/>
    <mergeCell ref="A26:D26"/>
    <mergeCell ref="E26:F27"/>
    <mergeCell ref="G26:J27"/>
    <mergeCell ref="E28:F28"/>
    <mergeCell ref="G28:J28"/>
    <mergeCell ref="E29:F29"/>
    <mergeCell ref="G29:J29"/>
    <mergeCell ref="E30:F30"/>
    <mergeCell ref="G30:J30"/>
    <mergeCell ref="E31:F31"/>
    <mergeCell ref="G31:J31"/>
    <mergeCell ref="E32:F32"/>
    <mergeCell ref="G32:J32"/>
    <mergeCell ref="A33:F33"/>
    <mergeCell ref="G33:J33"/>
    <mergeCell ref="A36:G36"/>
    <mergeCell ref="A37:G37"/>
    <mergeCell ref="A38:G38"/>
    <mergeCell ref="A39:G39"/>
    <mergeCell ref="A40:G40"/>
    <mergeCell ref="A41:G41"/>
    <mergeCell ref="A48:J48"/>
    <mergeCell ref="A49:J49"/>
    <mergeCell ref="A50:J50"/>
    <mergeCell ref="A51:J51"/>
    <mergeCell ref="A52:J52"/>
  </mergeCells>
  <dataValidations count="1">
    <dataValidation allowBlank="false" errorStyle="stop" operator="between" showDropDown="false" showErrorMessage="false" showInputMessage="false" sqref="C8" type="list">
      <formula1>tbl_nip</formula1>
      <formula2>0</formula2>
    </dataValidation>
  </dataValidations>
  <printOptions headings="false" gridLines="false" gridLinesSet="true" horizontalCentered="true" verticalCentered="false"/>
  <pageMargins left="0.590277777777778" right="0.590277777777778" top="0.590277777777778" bottom="0.590277777777778" header="0.511811023622047" footer="0.511811023622047"/>
  <pageSetup paperSize="0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539062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6"/>
    <col collapsed="false" customWidth="true" hidden="false" outlineLevel="0" max="3" min="3" style="0" width="24"/>
    <col collapsed="false" customWidth="true" hidden="false" outlineLevel="0" max="6" min="4" style="0" width="12"/>
    <col collapsed="false" customWidth="true" hidden="false" outlineLevel="0" max="7" min="7" style="0" width="4"/>
    <col collapsed="false" customWidth="true" hidden="false" outlineLevel="0" max="10" min="8" style="0" width="14"/>
  </cols>
  <sheetData>
    <row r="1" customFormat="false" ht="21.75" hidden="false" customHeight="true" outlineLevel="0" collapsed="false">
      <c r="A1" s="15" t="s">
        <v>90</v>
      </c>
      <c r="B1" s="15"/>
      <c r="C1" s="15"/>
      <c r="D1" s="15"/>
      <c r="E1" s="15"/>
      <c r="F1" s="15"/>
      <c r="G1" s="15"/>
      <c r="H1" s="15"/>
      <c r="I1" s="15"/>
      <c r="J1" s="15"/>
    </row>
    <row r="2" customFormat="false" ht="21.75" hidden="false" customHeight="true" outlineLevel="0" collapsed="false">
      <c r="A2" s="15" t="s">
        <v>91</v>
      </c>
      <c r="B2" s="15"/>
      <c r="C2" s="15"/>
      <c r="D2" s="15"/>
      <c r="E2" s="15"/>
      <c r="F2" s="15"/>
      <c r="G2" s="15"/>
      <c r="H2" s="15"/>
      <c r="I2" s="15"/>
      <c r="J2" s="15"/>
    </row>
    <row r="3" customFormat="false" ht="15" hidden="false" customHeight="true" outlineLevel="0" collapsed="false">
      <c r="A3" s="16" t="s">
        <v>92</v>
      </c>
      <c r="B3" s="16"/>
      <c r="C3" s="16"/>
      <c r="D3" s="16"/>
      <c r="E3" s="16"/>
      <c r="F3" s="16"/>
      <c r="G3" s="16"/>
      <c r="H3" s="16"/>
      <c r="I3" s="16"/>
      <c r="J3" s="16"/>
    </row>
    <row r="4" customFormat="false" ht="15" hidden="false" customHeight="true" outlineLevel="0" collapsed="false">
      <c r="A4" s="16" t="s">
        <v>93</v>
      </c>
      <c r="B4" s="16"/>
      <c r="C4" s="16"/>
      <c r="D4" s="16"/>
      <c r="E4" s="16"/>
      <c r="F4" s="16"/>
      <c r="G4" s="16"/>
      <c r="H4" s="16"/>
      <c r="I4" s="16"/>
      <c r="J4" s="16"/>
    </row>
    <row r="5" customFormat="false" ht="15" hidden="false" customHeight="true" outlineLevel="0" collapsed="false">
      <c r="A5" s="16" t="s">
        <v>94</v>
      </c>
      <c r="B5" s="16"/>
      <c r="C5" s="16"/>
      <c r="D5" s="16"/>
      <c r="E5" s="16"/>
      <c r="F5" s="16"/>
      <c r="G5" s="16"/>
      <c r="H5" s="16"/>
      <c r="I5" s="16"/>
      <c r="J5" s="16"/>
    </row>
    <row r="6" customFormat="false" ht="15" hidden="false" customHeight="true" outlineLevel="0" collapsed="false">
      <c r="A6" s="16" t="s">
        <v>95</v>
      </c>
      <c r="B6" s="16"/>
      <c r="C6" s="16"/>
      <c r="D6" s="16"/>
      <c r="E6" s="16"/>
      <c r="F6" s="16"/>
      <c r="G6" s="16"/>
      <c r="H6" s="16"/>
      <c r="I6" s="16"/>
      <c r="J6" s="16"/>
    </row>
    <row r="7" customFormat="false" ht="4.5" hidden="false" customHeight="true" outlineLevel="0" collapsed="false">
      <c r="A7" s="17"/>
      <c r="B7" s="17"/>
      <c r="C7" s="17"/>
      <c r="D7" s="17"/>
      <c r="E7" s="17"/>
      <c r="F7" s="17"/>
      <c r="G7" s="17"/>
      <c r="H7" s="17"/>
      <c r="I7" s="17"/>
      <c r="J7" s="17"/>
    </row>
    <row r="8" customFormat="false" ht="19.5" hidden="false" customHeight="true" outlineLevel="0" collapsed="false">
      <c r="A8" s="18" t="s">
        <v>96</v>
      </c>
      <c r="B8" s="18"/>
      <c r="C8" s="19" t="s">
        <v>79</v>
      </c>
      <c r="D8" s="19"/>
      <c r="E8" s="19"/>
      <c r="F8" s="19"/>
    </row>
    <row r="10" customFormat="false" ht="16.15" hidden="false" customHeight="true" outlineLevel="0" collapsed="false">
      <c r="A10" s="22" t="s">
        <v>142</v>
      </c>
      <c r="B10" s="22"/>
      <c r="C10" s="22"/>
      <c r="D10" s="22"/>
      <c r="E10" s="22"/>
      <c r="F10" s="22"/>
      <c r="G10" s="22"/>
      <c r="H10" s="22"/>
      <c r="I10" s="22"/>
      <c r="J10" s="22"/>
    </row>
    <row r="11" customFormat="false" ht="15" hidden="false" customHeight="false" outlineLevel="0" collapsed="false">
      <c r="A11" s="23" t="str">
        <f aca="false">CONCATENATE("NOMOR: 220/KPG.03.03/SMAN1CGL-",$C$8)</f>
        <v>NOMOR: 220/KPG.03.03/SMAN1CGL-199101182019031011</v>
      </c>
      <c r="B11" s="23"/>
      <c r="C11" s="23"/>
      <c r="D11" s="23"/>
      <c r="E11" s="23"/>
      <c r="F11" s="23"/>
      <c r="G11" s="23"/>
      <c r="H11" s="23"/>
      <c r="I11" s="23"/>
      <c r="J11" s="23"/>
    </row>
    <row r="13" customFormat="false" ht="15" hidden="false" customHeight="true" outlineLevel="0" collapsed="false">
      <c r="A13" s="24" t="str">
        <f aca="false">CONCATENATE("Instansi : ",IFERROR(INDEX(tbl_pegawai,MATCH($C$8,tbl_nip,0),11),""))</f>
        <v>Instansi : PEMERINTAH PROVINSI JAWA BARAT</v>
      </c>
      <c r="B13" s="24"/>
      <c r="C13" s="24"/>
      <c r="D13" s="24"/>
      <c r="E13" s="24"/>
      <c r="F13" s="25" t="s">
        <v>143</v>
      </c>
      <c r="G13" s="25"/>
      <c r="H13" s="25"/>
      <c r="I13" s="25"/>
      <c r="J13" s="25"/>
    </row>
    <row r="15" customFormat="false" ht="15" hidden="false" customHeight="true" outlineLevel="0" collapsed="false">
      <c r="A15" s="2" t="s">
        <v>132</v>
      </c>
      <c r="B15" s="35" t="s">
        <v>133</v>
      </c>
      <c r="C15" s="35"/>
      <c r="D15" s="35"/>
      <c r="E15" s="35"/>
      <c r="F15" s="35"/>
      <c r="G15" s="35"/>
      <c r="H15" s="35"/>
      <c r="I15" s="35"/>
      <c r="J15" s="35"/>
    </row>
    <row r="16" customFormat="false" ht="19.5" hidden="false" customHeight="true" outlineLevel="0" collapsed="false">
      <c r="A16" s="36"/>
      <c r="B16" s="26" t="s">
        <v>100</v>
      </c>
      <c r="C16" s="27" t="s">
        <v>53</v>
      </c>
      <c r="D16" s="28" t="str">
        <f aca="false">IFERROR(INDEX(tbl_pegawai,MATCH($C$8,tbl_nip,0),2),"")</f>
        <v>ABDUL HADI HASANUDDIN, S.Pd.</v>
      </c>
      <c r="E16" s="28"/>
      <c r="F16" s="28"/>
      <c r="G16" s="28"/>
      <c r="H16" s="28"/>
      <c r="I16" s="28"/>
      <c r="J16" s="28"/>
    </row>
    <row r="17" customFormat="false" ht="19.5" hidden="false" customHeight="true" outlineLevel="0" collapsed="false">
      <c r="A17" s="36"/>
      <c r="B17" s="26" t="s">
        <v>102</v>
      </c>
      <c r="C17" s="27" t="s">
        <v>52</v>
      </c>
      <c r="D17" s="28" t="str">
        <f aca="false">IFERROR(INDEX(tbl_pegawai,MATCH($C$8,tbl_nip,0),1),"")</f>
        <v>199101182019031011</v>
      </c>
      <c r="E17" s="28"/>
      <c r="F17" s="28"/>
      <c r="G17" s="28"/>
      <c r="H17" s="28"/>
      <c r="I17" s="28"/>
      <c r="J17" s="28"/>
    </row>
    <row r="18" customFormat="false" ht="19.5" hidden="false" customHeight="true" outlineLevel="0" collapsed="false">
      <c r="A18" s="36"/>
      <c r="B18" s="26" t="s">
        <v>103</v>
      </c>
      <c r="C18" s="27" t="s">
        <v>54</v>
      </c>
      <c r="D18" s="28" t="str">
        <f aca="false">IFERROR(INDEX(tbl_pegawai,MATCH($C$8,tbl_nip,0),3),"")</f>
        <v>B 03050388</v>
      </c>
      <c r="E18" s="28"/>
      <c r="F18" s="28"/>
      <c r="G18" s="28"/>
      <c r="H18" s="28"/>
      <c r="I18" s="28"/>
      <c r="J18" s="28"/>
    </row>
    <row r="19" customFormat="false" ht="19.5" hidden="false" customHeight="true" outlineLevel="0" collapsed="false">
      <c r="A19" s="36"/>
      <c r="B19" s="26" t="s">
        <v>104</v>
      </c>
      <c r="C19" s="27" t="s">
        <v>144</v>
      </c>
      <c r="D19" s="28" t="str">
        <f aca="false">IFERROR(INDEX(tbl_pegawai,MATCH($C$8,tbl_nip,0),4),"")</f>
        <v>TASIKMALAYA/18-01-1991</v>
      </c>
      <c r="E19" s="28"/>
      <c r="F19" s="28"/>
      <c r="G19" s="28"/>
      <c r="H19" s="28"/>
      <c r="I19" s="28"/>
      <c r="J19" s="28"/>
    </row>
    <row r="20" customFormat="false" ht="19.5" hidden="false" customHeight="true" outlineLevel="0" collapsed="false">
      <c r="A20" s="36"/>
      <c r="B20" s="26" t="s">
        <v>106</v>
      </c>
      <c r="C20" s="27" t="s">
        <v>56</v>
      </c>
      <c r="D20" s="28" t="str">
        <f aca="false">IFERROR(INDEX(tbl_pegawai,MATCH($C$8,tbl_nip,0),5),"")</f>
        <v>LAKI-LAKI</v>
      </c>
      <c r="E20" s="28"/>
      <c r="F20" s="28"/>
      <c r="G20" s="28"/>
      <c r="H20" s="28"/>
      <c r="I20" s="28"/>
      <c r="J20" s="28"/>
    </row>
    <row r="21" customFormat="false" ht="19.5" hidden="false" customHeight="true" outlineLevel="0" collapsed="false">
      <c r="A21" s="36"/>
      <c r="B21" s="26" t="s">
        <v>107</v>
      </c>
      <c r="C21" s="27" t="s">
        <v>108</v>
      </c>
      <c r="D21" s="28" t="str">
        <f aca="false">IFERROR(INDEX(tbl_pegawai,MATCH($C$8,tbl_nip,0),6),"")</f>
        <v>PENATA MUDA TK.I/III/b/01-08-2024</v>
      </c>
      <c r="E21" s="28"/>
      <c r="F21" s="28"/>
      <c r="G21" s="28"/>
      <c r="H21" s="28"/>
      <c r="I21" s="28"/>
      <c r="J21" s="28"/>
    </row>
    <row r="22" customFormat="false" ht="19.5" hidden="false" customHeight="true" outlineLevel="0" collapsed="false">
      <c r="A22" s="36"/>
      <c r="B22" s="26" t="s">
        <v>109</v>
      </c>
      <c r="C22" s="27" t="s">
        <v>58</v>
      </c>
      <c r="D22" s="28" t="str">
        <f aca="false">IFERROR(INDEX(tbl_pegawai,MATCH($C$8,tbl_nip,0),8),"")</f>
        <v>GURU AHLI PERTAMA/01-03-2019</v>
      </c>
      <c r="E22" s="28"/>
      <c r="F22" s="28"/>
      <c r="G22" s="28"/>
      <c r="H22" s="28"/>
      <c r="I22" s="28"/>
      <c r="J22" s="28"/>
    </row>
    <row r="23" customFormat="false" ht="54" hidden="false" customHeight="true" outlineLevel="0" collapsed="false">
      <c r="A23" s="36"/>
      <c r="B23" s="26" t="s">
        <v>110</v>
      </c>
      <c r="C23" s="27" t="s">
        <v>59</v>
      </c>
      <c r="D23" s="28" t="str">
        <f aca="false">IFERROR(INDEX(tbl_pegawai,MATCH($C$8,tbl_nip,0),10),"")</f>
        <v>SMAN 1 CIGALONTANG KABUPATEN TASIKMALAYA SATUAN PENDIDIKAN KABUPATEN TASIKMALAYA CABANG PENDIDIKAN WILAYAH XII DINAS PENDIDIKAN</v>
      </c>
      <c r="E23" s="28"/>
      <c r="F23" s="28"/>
      <c r="G23" s="28"/>
      <c r="H23" s="28"/>
      <c r="I23" s="28"/>
      <c r="J23" s="28"/>
    </row>
    <row r="24" customFormat="false" ht="19.5" hidden="false" customHeight="true" outlineLevel="0" collapsed="false">
      <c r="A24" s="36"/>
      <c r="B24" s="26" t="s">
        <v>111</v>
      </c>
      <c r="C24" s="27" t="s">
        <v>60</v>
      </c>
      <c r="D24" s="28" t="str">
        <f aca="false">IFERROR(INDEX(tbl_pegawai,MATCH($C$8,tbl_nip,0),11),"")</f>
        <v>PEMERINTAH PROVINSI JAWA BARAT</v>
      </c>
      <c r="E24" s="28"/>
      <c r="F24" s="28"/>
      <c r="G24" s="28"/>
      <c r="H24" s="28"/>
      <c r="I24" s="28"/>
      <c r="J24" s="28"/>
    </row>
    <row r="25" customFormat="false" ht="15" hidden="false" customHeight="true" outlineLevel="0" collapsed="false">
      <c r="A25" s="2" t="s">
        <v>134</v>
      </c>
      <c r="B25" s="2"/>
      <c r="C25" s="2"/>
      <c r="D25" s="2"/>
      <c r="E25" s="2"/>
      <c r="F25" s="2"/>
      <c r="G25" s="2"/>
      <c r="H25" s="2"/>
      <c r="I25" s="2"/>
      <c r="J25" s="2"/>
    </row>
    <row r="26" customFormat="false" ht="21.75" hidden="false" customHeight="true" outlineLevel="0" collapsed="false">
      <c r="A26" s="29" t="s">
        <v>145</v>
      </c>
      <c r="B26" s="29" t="s">
        <v>142</v>
      </c>
      <c r="C26" s="29"/>
      <c r="D26" s="29" t="s">
        <v>146</v>
      </c>
      <c r="E26" s="29" t="s">
        <v>147</v>
      </c>
      <c r="F26" s="29" t="s">
        <v>148</v>
      </c>
      <c r="G26" s="29"/>
      <c r="H26" s="29" t="s">
        <v>149</v>
      </c>
      <c r="I26" s="29"/>
      <c r="J26" s="29"/>
    </row>
    <row r="27" customFormat="false" ht="15.75" hidden="false" customHeight="true" outlineLevel="0" collapsed="false">
      <c r="A27" s="29" t="s">
        <v>100</v>
      </c>
      <c r="B27" s="29" t="s">
        <v>102</v>
      </c>
      <c r="C27" s="29"/>
      <c r="D27" s="29" t="s">
        <v>103</v>
      </c>
      <c r="E27" s="29" t="s">
        <v>104</v>
      </c>
      <c r="F27" s="29" t="s">
        <v>106</v>
      </c>
      <c r="G27" s="29"/>
      <c r="H27" s="29" t="s">
        <v>107</v>
      </c>
      <c r="I27" s="29"/>
      <c r="J27" s="29"/>
    </row>
    <row r="28" customFormat="false" ht="21.75" hidden="false" customHeight="true" outlineLevel="0" collapsed="false">
      <c r="A28" s="7" t="s">
        <v>100</v>
      </c>
      <c r="B28" s="4" t="s">
        <v>150</v>
      </c>
      <c r="C28" s="4"/>
      <c r="D28" s="39" t="n">
        <f aca="false">IFERROR(INDEX(tbl_pegawai,MATCH($C$8,tbl_nip,0),12),"")</f>
        <v>50</v>
      </c>
      <c r="E28" s="39" t="s">
        <v>9</v>
      </c>
      <c r="F28" s="39" t="n">
        <f aca="false">IFERROR(IF(AND(ISNUMBER(D28),ISNUMBER(E28)),D28+E28,IF(ISNUMBER(D28),D28,IF(ISNUMBER(E28),E28,"-"))),"-")</f>
        <v>50</v>
      </c>
      <c r="G28" s="39"/>
      <c r="H28" s="7" t="s">
        <v>9</v>
      </c>
      <c r="I28" s="7"/>
      <c r="J28" s="7"/>
    </row>
    <row r="29" customFormat="false" ht="21.75" hidden="false" customHeight="true" outlineLevel="0" collapsed="false">
      <c r="A29" s="7" t="s">
        <v>102</v>
      </c>
      <c r="B29" s="4" t="s">
        <v>62</v>
      </c>
      <c r="C29" s="4"/>
      <c r="D29" s="39" t="n">
        <f aca="false">IFERROR(INDEX(tbl_pegawai,MATCH($C$8,tbl_nip,0),13),"")</f>
        <v>0</v>
      </c>
      <c r="E29" s="39" t="s">
        <v>9</v>
      </c>
      <c r="F29" s="39" t="n">
        <f aca="false">IFERROR(IF(AND(ISNUMBER(D29),ISNUMBER(E29)),D29+E29,IF(ISNUMBER(D29),D29,IF(ISNUMBER(E29),E29,"-"))),"-")</f>
        <v>0</v>
      </c>
      <c r="G29" s="39"/>
      <c r="H29" s="7" t="s">
        <v>9</v>
      </c>
      <c r="I29" s="7"/>
      <c r="J29" s="7"/>
    </row>
    <row r="30" customFormat="false" ht="21.75" hidden="false" customHeight="true" outlineLevel="0" collapsed="false">
      <c r="A30" s="7" t="s">
        <v>103</v>
      </c>
      <c r="B30" s="4" t="s">
        <v>151</v>
      </c>
      <c r="C30" s="4"/>
      <c r="D30" s="39" t="n">
        <f aca="false">IFERROR(INDEX(tbl_pegawai,MATCH($C$8,tbl_nip,0),14),"")</f>
        <v>0</v>
      </c>
      <c r="E30" s="39" t="s">
        <v>9</v>
      </c>
      <c r="F30" s="39" t="n">
        <f aca="false">IFERROR(IF(AND(ISNUMBER(D30),ISNUMBER(E30)),D30+E30,IF(ISNUMBER(D30),D30,IF(ISNUMBER(E30),E30,"-"))),"-")</f>
        <v>0</v>
      </c>
      <c r="G30" s="39"/>
      <c r="H30" s="7" t="s">
        <v>9</v>
      </c>
      <c r="I30" s="7"/>
      <c r="J30" s="7"/>
    </row>
    <row r="31" customFormat="false" ht="21.75" hidden="false" customHeight="true" outlineLevel="0" collapsed="false">
      <c r="A31" s="7" t="s">
        <v>104</v>
      </c>
      <c r="B31" s="4" t="s">
        <v>152</v>
      </c>
      <c r="C31" s="4"/>
      <c r="D31" s="39" t="s">
        <v>9</v>
      </c>
      <c r="E31" s="39" t="n">
        <f aca="false">ak_baru</f>
        <v>28.125</v>
      </c>
      <c r="F31" s="39" t="n">
        <f aca="false">IFERROR(IF(AND(ISNUMBER(D31),ISNUMBER(E31)),D31+E31,IF(ISNUMBER(D31),D31,IF(ISNUMBER(E31),E31,"-"))),"-")</f>
        <v>28.125</v>
      </c>
      <c r="G31" s="39"/>
      <c r="H31" s="7" t="s">
        <v>9</v>
      </c>
      <c r="I31" s="7"/>
      <c r="J31" s="7"/>
    </row>
    <row r="32" customFormat="false" ht="21.75" hidden="false" customHeight="true" outlineLevel="0" collapsed="false">
      <c r="A32" s="7" t="s">
        <v>106</v>
      </c>
      <c r="B32" s="4" t="s">
        <v>153</v>
      </c>
      <c r="C32" s="4"/>
      <c r="D32" s="39" t="s">
        <v>9</v>
      </c>
      <c r="E32" s="39" t="s">
        <v>9</v>
      </c>
      <c r="F32" s="39" t="str">
        <f aca="false">IFERROR(IF(AND(ISNUMBER(D32),ISNUMBER(E32)),D32+E32,IF(ISNUMBER(D32),D32,IF(ISNUMBER(E32),E32,"-"))),"-")</f>
        <v>-</v>
      </c>
      <c r="G32" s="39"/>
      <c r="H32" s="7" t="s">
        <v>9</v>
      </c>
      <c r="I32" s="7"/>
      <c r="J32" s="7"/>
    </row>
    <row r="33" customFormat="false" ht="21.75" hidden="false" customHeight="true" outlineLevel="0" collapsed="false">
      <c r="A33" s="7" t="s">
        <v>107</v>
      </c>
      <c r="B33" s="4" t="s">
        <v>154</v>
      </c>
      <c r="C33" s="4"/>
      <c r="D33" s="39" t="s">
        <v>9</v>
      </c>
      <c r="E33" s="39" t="s">
        <v>9</v>
      </c>
      <c r="F33" s="39" t="str">
        <f aca="false">IFERROR(IF(AND(ISNUMBER(D33),ISNUMBER(E33)),D33+E33,IF(ISNUMBER(D33),D33,IF(ISNUMBER(E33),E33,"-"))),"-")</f>
        <v>-</v>
      </c>
      <c r="G33" s="39"/>
      <c r="H33" s="7" t="s">
        <v>9</v>
      </c>
      <c r="I33" s="7"/>
      <c r="J33" s="7"/>
    </row>
    <row r="34" customFormat="false" ht="21.75" hidden="false" customHeight="true" outlineLevel="0" collapsed="false">
      <c r="A34" s="37" t="s">
        <v>155</v>
      </c>
      <c r="B34" s="37"/>
      <c r="C34" s="37"/>
      <c r="D34" s="38" t="n">
        <f aca="false">SUMPRODUCT(--ISNUMBER(D28:D33),D28:D33)</f>
        <v>50</v>
      </c>
      <c r="E34" s="38" t="n">
        <f aca="false">SUMPRODUCT(--ISNUMBER(E28:E33),E28:E33)</f>
        <v>28.125</v>
      </c>
      <c r="F34" s="38" t="n">
        <f aca="false">D34+E34</f>
        <v>78.125</v>
      </c>
      <c r="G34" s="38"/>
      <c r="H34" s="36"/>
      <c r="I34" s="36"/>
      <c r="J34" s="36"/>
    </row>
    <row r="35" customFormat="false" ht="21.75" hidden="false" customHeight="true" outlineLevel="0" collapsed="false">
      <c r="A35" s="2" t="s">
        <v>149</v>
      </c>
      <c r="B35" s="2"/>
      <c r="C35" s="2"/>
      <c r="D35" s="2" t="s">
        <v>156</v>
      </c>
      <c r="E35" s="2"/>
      <c r="F35" s="2" t="s">
        <v>11</v>
      </c>
      <c r="G35" s="2"/>
      <c r="H35" s="2"/>
      <c r="I35" s="2"/>
      <c r="J35" s="2"/>
    </row>
    <row r="36" customFormat="false" ht="33.75" hidden="false" customHeight="true" outlineLevel="0" collapsed="false">
      <c r="A36" s="4" t="s">
        <v>157</v>
      </c>
      <c r="B36" s="4"/>
      <c r="C36" s="4"/>
      <c r="D36" s="38" t="n">
        <f aca="false">IFERROR(VLOOKUP(IFERROR(INDEX(tbl_pegawai,MATCH($C$8,tbl_nip,0),7),""),tbl_pangkat_berikut,5,FALSE()),"-")</f>
        <v>100</v>
      </c>
      <c r="E36" s="38"/>
      <c r="F36" s="38" t="n">
        <f aca="false">IFERROR(VLOOKUP(IFERROR(INDEX(tbl_pegawai,MATCH($C$8,tbl_nip,0),9),""),tbl_ak_jenjang,2,FALSE()),"-")</f>
        <v>100</v>
      </c>
      <c r="G36" s="38"/>
      <c r="H36" s="38"/>
      <c r="I36" s="38"/>
      <c r="J36" s="38"/>
    </row>
    <row r="37" customFormat="false" ht="21.75" hidden="false" customHeight="true" outlineLevel="0" collapsed="false">
      <c r="A37" s="4" t="s">
        <v>158</v>
      </c>
      <c r="B37" s="4"/>
      <c r="C37" s="4"/>
      <c r="D37" s="38" t="n">
        <f aca="false">IFERROR(MAX(D36-F34,0),"-")</f>
        <v>21.875</v>
      </c>
      <c r="E37" s="38"/>
      <c r="F37" s="38" t="n">
        <f aca="false">IFERROR(MAX(F36-F34,0),"-")</f>
        <v>21.875</v>
      </c>
      <c r="G37" s="38"/>
      <c r="H37" s="38"/>
      <c r="I37" s="38"/>
      <c r="J37" s="38"/>
    </row>
    <row r="38" customFormat="false" ht="21.75" hidden="false" customHeight="true" outlineLevel="0" collapsed="false">
      <c r="A38" s="4" t="s">
        <v>159</v>
      </c>
      <c r="B38" s="4"/>
      <c r="C38" s="4"/>
      <c r="D38" s="38"/>
      <c r="E38" s="38"/>
      <c r="F38" s="38"/>
      <c r="G38" s="38"/>
      <c r="H38" s="38"/>
      <c r="I38" s="38"/>
      <c r="J38" s="38"/>
    </row>
    <row r="39" customFormat="false" ht="33.75" hidden="false" customHeight="true" outlineLevel="0" collapsed="false">
      <c r="A39" s="40" t="str">
        <f aca="false">IFERROR(CONCATENATE(IF(F34&gt;=VLOOKUP(IFERROR(INDEX(tbl_pegawai,MATCH($C$8,tbl_nip,0),7),""),tbl_pangkat_berikut,5,FALSE()),"DAPAT","TIDAK DAPAT")," DIPERTIMBANGKAN UNTUK KENAIKAN PANGKAT SETINGKAT LEBIH TINGGI MENJADI GURU ",UPPER(VLOOKUP(IFERROR(INDEX(tbl_pegawai,MATCH($C$8,tbl_nip,0),7),""),tbl_pangkat_berikut,4,FALSE()))," PANGKAT/GOLONGAN RUANG ",VLOOKUP(IFERROR(INDEX(tbl_pegawai,MATCH($C$8,tbl_nip,0),7),""),tbl_pangkat_berikut,3,FALSE())," (",VLOOKUP(IFERROR(INDEX(tbl_pegawai,MATCH($C$8,tbl_nip,0),7),""),tbl_pangkat_berikut,2,FALSE()),")"),"TIDAK DAPAT DIPERTIMBANGKAN UNTUK KENAIKAN PANGKAT SETINGKAT LEBIH TINGGI")</f>
        <v>TIDAK DAPAT DIPERTIMBANGKAN UNTUK KENAIKAN PANGKAT SETINGKAT LEBIH TINGGI MENJADI GURU AHLI MUDA PANGKAT/GOLONGAN RUANG PENATA (III/c)</v>
      </c>
      <c r="B39" s="40"/>
      <c r="C39" s="40"/>
      <c r="D39" s="40"/>
      <c r="E39" s="40"/>
      <c r="F39" s="40"/>
      <c r="G39" s="40"/>
      <c r="H39" s="40"/>
      <c r="I39" s="40"/>
      <c r="J39" s="40"/>
    </row>
    <row r="40" customFormat="false" ht="33.75" hidden="false" customHeight="true" outlineLevel="0" collapsed="false">
      <c r="A40" s="40" t="str">
        <f aca="false">IFERROR(IF(VLOOKUP(IFERROR(INDEX(tbl_pegawai,MATCH($C$8,tbl_nip,0),7),""),tbl_pangkat_berikut,4,FALSE())=IFERROR(INDEX(tbl_pegawai,MATCH($C$8,tbl_nip,0),9),""),CONCATENATE(IF(F34&gt;=F36,"DAPAT","TIDAK DAPAT")," DIPERTIMBANGKAN UNTUK KENAIKAN JENJANG JABATAN (BELUM BERLAKU PADA KENAIKAN PANGKAT INI)"),CONCATENATE(IF(F34&gt;=F36,"DAPAT","TIDAK DAPAT")," DIPERTIMBANGKAN UNTUK KENAIKAN JENJANG JABATAN MENJADI GURU ",UPPER(VLOOKUP(IFERROR(INDEX(tbl_pegawai,MATCH($C$8,tbl_nip,0),7),""),tbl_pangkat_berikut,4,FALSE()))," PANGKAT/GOLONGAN RUANG ",VLOOKUP(IFERROR(INDEX(tbl_pegawai,MATCH($C$8,tbl_nip,0),7),""),tbl_pangkat_berikut,3,FALSE())," (",VLOOKUP(IFERROR(INDEX(tbl_pegawai,MATCH($C$8,tbl_nip,0),7),""),tbl_pangkat_berikut,2,FALSE()),")")),"TIDAK DAPAT DIPERTIMBANGKAN UNTUK KENAIKAN JENJANG JABATAN")</f>
        <v>TIDAK DAPAT DIPERTIMBANGKAN UNTUK KENAIKAN JENJANG JABATAN MENJADI GURU AHLI MUDA PANGKAT/GOLONGAN RUANG PENATA (III/c)</v>
      </c>
      <c r="B40" s="40"/>
      <c r="C40" s="40"/>
      <c r="D40" s="40"/>
      <c r="E40" s="40"/>
      <c r="F40" s="40"/>
      <c r="G40" s="40"/>
      <c r="H40" s="40"/>
      <c r="I40" s="40"/>
      <c r="J40" s="40"/>
    </row>
    <row r="42" customFormat="false" ht="124.6" hidden="false" customHeight="false" outlineLevel="0" collapsed="false">
      <c r="A42" s="32" t="s">
        <v>160</v>
      </c>
      <c r="H42" s="31" t="s">
        <v>141</v>
      </c>
    </row>
    <row r="43" customFormat="false" ht="135.8" hidden="false" customHeight="false" outlineLevel="0" collapsed="false">
      <c r="A43" s="31" t="str">
        <f aca="false">IFERROR(INDEX(tbl_pegawai,MATCH($C$8,tbl_nip,0),2),"")</f>
        <v>ABDUL HADI HASANUDDIN, S.Pd.</v>
      </c>
      <c r="H43" s="31" t="s">
        <v>117</v>
      </c>
    </row>
    <row r="45" customFormat="false" ht="124.6" hidden="false" customHeight="false" outlineLevel="0" collapsed="false">
      <c r="A45" s="32" t="s">
        <v>115</v>
      </c>
      <c r="H45" s="31" t="s">
        <v>120</v>
      </c>
    </row>
    <row r="46" customFormat="false" ht="247.75" hidden="false" customHeight="false" outlineLevel="0" collapsed="false">
      <c r="A46" s="31" t="s">
        <v>116</v>
      </c>
      <c r="H46" s="31" t="s">
        <v>122</v>
      </c>
    </row>
    <row r="47" customFormat="false" ht="258.95" hidden="false" customHeight="false" outlineLevel="0" collapsed="false">
      <c r="A47" s="31" t="s">
        <v>118</v>
      </c>
      <c r="H47" s="31" t="s">
        <v>123</v>
      </c>
    </row>
    <row r="48" customFormat="false" ht="169.4" hidden="false" customHeight="false" outlineLevel="0" collapsed="false">
      <c r="A48" s="31" t="s">
        <v>119</v>
      </c>
    </row>
    <row r="49" customFormat="false" ht="124.6" hidden="false" customHeight="false" outlineLevel="0" collapsed="false">
      <c r="A49" s="31" t="s">
        <v>121</v>
      </c>
    </row>
    <row r="50" customFormat="false" ht="270.1" hidden="false" customHeight="false" outlineLevel="0" collapsed="false">
      <c r="A50" s="31" t="s">
        <v>161</v>
      </c>
    </row>
    <row r="51" customFormat="false" ht="35.05" hidden="false" customHeight="false" outlineLevel="0" collapsed="false">
      <c r="H51" s="32" t="str">
        <f aca="false">IFERROR(INDEX(tbl_pegawai,MATCH($C$8,tbl_nip,0),28),"")</f>
        <v>Drs. ASEP SAEPUDIN, M.S.I</v>
      </c>
    </row>
    <row r="52" customFormat="false" ht="15" hidden="false" customHeight="false" outlineLevel="0" collapsed="false">
      <c r="H52" s="31" t="s">
        <v>124</v>
      </c>
    </row>
    <row r="54" customFormat="false" ht="15" hidden="false" customHeight="true" outlineLevel="0" collapsed="false">
      <c r="A54" s="33" t="s">
        <v>125</v>
      </c>
      <c r="B54" s="33"/>
      <c r="C54" s="33"/>
      <c r="D54" s="33"/>
      <c r="E54" s="33"/>
      <c r="F54" s="33"/>
      <c r="G54" s="33"/>
      <c r="H54" s="33"/>
      <c r="I54" s="33"/>
      <c r="J54" s="33"/>
    </row>
    <row r="55" customFormat="false" ht="15" hidden="false" customHeight="true" outlineLevel="0" collapsed="false">
      <c r="A55" s="33" t="s">
        <v>126</v>
      </c>
      <c r="B55" s="33"/>
      <c r="C55" s="33"/>
      <c r="D55" s="33"/>
      <c r="E55" s="33"/>
      <c r="F55" s="33"/>
      <c r="G55" s="33"/>
      <c r="H55" s="33"/>
      <c r="I55" s="33"/>
      <c r="J55" s="33"/>
    </row>
    <row r="56" customFormat="false" ht="15" hidden="false" customHeight="true" outlineLevel="0" collapsed="false">
      <c r="A56" s="33" t="s">
        <v>127</v>
      </c>
      <c r="B56" s="33"/>
      <c r="C56" s="33"/>
      <c r="D56" s="33"/>
      <c r="E56" s="33"/>
      <c r="F56" s="33"/>
      <c r="G56" s="33"/>
      <c r="H56" s="33"/>
      <c r="I56" s="33"/>
      <c r="J56" s="33"/>
    </row>
    <row r="57" customFormat="false" ht="15" hidden="false" customHeight="true" outlineLevel="0" collapsed="false">
      <c r="A57" s="34" t="s">
        <v>128</v>
      </c>
      <c r="B57" s="34"/>
      <c r="C57" s="34"/>
      <c r="D57" s="34"/>
      <c r="E57" s="34"/>
      <c r="F57" s="34"/>
      <c r="G57" s="34"/>
      <c r="H57" s="34"/>
      <c r="I57" s="34"/>
      <c r="J57" s="34"/>
    </row>
    <row r="58" customFormat="false" ht="15" hidden="false" customHeight="true" outlineLevel="0" collapsed="false">
      <c r="A58" s="33" t="s">
        <v>129</v>
      </c>
      <c r="B58" s="33"/>
      <c r="C58" s="33"/>
      <c r="D58" s="33"/>
      <c r="E58" s="33"/>
      <c r="F58" s="33"/>
      <c r="G58" s="33"/>
      <c r="H58" s="33"/>
      <c r="I58" s="33"/>
      <c r="J58" s="33"/>
    </row>
  </sheetData>
  <mergeCells count="67">
    <mergeCell ref="A1:J1"/>
    <mergeCell ref="A2:J2"/>
    <mergeCell ref="A3:J3"/>
    <mergeCell ref="A4:J4"/>
    <mergeCell ref="A5:J5"/>
    <mergeCell ref="A6:J6"/>
    <mergeCell ref="A8:B8"/>
    <mergeCell ref="C8:F8"/>
    <mergeCell ref="A10:J10"/>
    <mergeCell ref="A11:J11"/>
    <mergeCell ref="A13:E13"/>
    <mergeCell ref="F13:J13"/>
    <mergeCell ref="B15:J15"/>
    <mergeCell ref="D16:J16"/>
    <mergeCell ref="D17:J17"/>
    <mergeCell ref="D18:J18"/>
    <mergeCell ref="D19:J19"/>
    <mergeCell ref="D20:J20"/>
    <mergeCell ref="D21:J21"/>
    <mergeCell ref="D22:J22"/>
    <mergeCell ref="D23:J23"/>
    <mergeCell ref="D24:J24"/>
    <mergeCell ref="A25:J25"/>
    <mergeCell ref="B26:C26"/>
    <mergeCell ref="F26:G26"/>
    <mergeCell ref="H26:J26"/>
    <mergeCell ref="B27:C27"/>
    <mergeCell ref="F27:G27"/>
    <mergeCell ref="H27:J27"/>
    <mergeCell ref="B28:C28"/>
    <mergeCell ref="F28:G28"/>
    <mergeCell ref="H28:J28"/>
    <mergeCell ref="B29:C29"/>
    <mergeCell ref="F29:G29"/>
    <mergeCell ref="H29:J29"/>
    <mergeCell ref="B30:C30"/>
    <mergeCell ref="F30:G30"/>
    <mergeCell ref="H30:J30"/>
    <mergeCell ref="B31:C31"/>
    <mergeCell ref="F31:G31"/>
    <mergeCell ref="H31:J31"/>
    <mergeCell ref="B32:C32"/>
    <mergeCell ref="F32:G32"/>
    <mergeCell ref="H32:J32"/>
    <mergeCell ref="B33:C33"/>
    <mergeCell ref="F33:G33"/>
    <mergeCell ref="H33:J33"/>
    <mergeCell ref="A34:C34"/>
    <mergeCell ref="F34:G34"/>
    <mergeCell ref="H34:J34"/>
    <mergeCell ref="A35:C35"/>
    <mergeCell ref="D35:E35"/>
    <mergeCell ref="F35:J35"/>
    <mergeCell ref="A36:C36"/>
    <mergeCell ref="D36:E36"/>
    <mergeCell ref="F36:J36"/>
    <mergeCell ref="A37:C37"/>
    <mergeCell ref="D37:E38"/>
    <mergeCell ref="F37:J38"/>
    <mergeCell ref="A38:C38"/>
    <mergeCell ref="A39:J39"/>
    <mergeCell ref="A40:J40"/>
    <mergeCell ref="A54:J54"/>
    <mergeCell ref="A55:J55"/>
    <mergeCell ref="A56:J56"/>
    <mergeCell ref="A57:J57"/>
    <mergeCell ref="A58:J58"/>
  </mergeCells>
  <dataValidations count="1">
    <dataValidation allowBlank="false" errorStyle="stop" operator="between" showDropDown="false" showErrorMessage="false" showInputMessage="false" sqref="C8" type="list">
      <formula1>tbl_nip</formula1>
      <formula2>0</formula2>
    </dataValidation>
  </dataValidations>
  <printOptions headings="false" gridLines="false" gridLinesSet="true" horizontalCentered="true" verticalCentered="false"/>
  <pageMargins left="0.590277777777778" right="0.590277777777778" top="0.590277777777778" bottom="0.590277777777778" header="0.511811023622047" footer="0.511811023622047"/>
  <pageSetup paperSize="0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2026-04-20T03:58:42Z</dcterms:created>
  <dc:creator>openpyxl</dc:creator>
  <dc:description/>
  <dc:language>en-US</dc:language>
  <cp:lastModifiedBy>Hadi hasanuddin</cp:lastModifiedBy>
  <dcterms:modified xsi:type="dcterms:W3CDTF">2026-04-21T08:19:40Z</dcterms:modified>
  <cp:revision>0</cp:revision>
  <dc:subject/>
  <dc:title>Document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